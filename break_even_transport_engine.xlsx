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8b2488a13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f835f4043bc428f"/>
    <x:sheet xmlns:r="http://schemas.openxmlformats.org/officeDocument/2006/relationships" name="Inputs" sheetId="2" r:id="R47575e5d3644494d"/>
    <x:sheet xmlns:r="http://schemas.openxmlformats.org/officeDocument/2006/relationships" name="Engine" sheetId="3" r:id="R9b74c6666849462c"/>
    <x:sheet xmlns:r="http://schemas.openxmlformats.org/officeDocument/2006/relationships" name="Sensitivity" sheetId="4" r:id="R2af8b6806bb1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0.000"/>
    <x:numFmt numFmtId="203" formatCode="0%"/>
    <x:numFmt numFmtId="204" formatCode="0.00"/>
    <x:numFmt numFmtId="205" formatCode="#,##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dcb9a8438430a" /><Relationship Type="http://schemas.openxmlformats.org/officeDocument/2006/relationships/theme" Target="/xl/theme/theme1.xml" Id="R7acc025ea2fe444a" /><Relationship Type="http://schemas.openxmlformats.org/officeDocument/2006/relationships/sharedStrings" Target="/xl/sharedStrings.xml" Id="Ra7fe445c654c47c8" /><Relationship Type="http://schemas.openxmlformats.org/officeDocument/2006/relationships/worksheet" Target="/xl/worksheets/sheet1.xml" Id="R6f835f4043bc428f" /><Relationship Type="http://schemas.openxmlformats.org/officeDocument/2006/relationships/worksheet" Target="/xl/worksheets/sheet2.xml" Id="R47575e5d3644494d" /><Relationship Type="http://schemas.openxmlformats.org/officeDocument/2006/relationships/worksheet" Target="/xl/worksheets/sheet3.xml" Id="R9b74c6666849462c" /><Relationship Type="http://schemas.openxmlformats.org/officeDocument/2006/relationships/worksheet" Target="/xl/worksheets/sheet4.xml" Id="R2af8b6806bb149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2564c64e3c44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Long Distance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2564c64e3c44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bf671187b4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16e6b96a4342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5e0e3e82e314926" /></Relationships>
</file>

<file path=xl/worksheets/sheet1.xml><?xml version="1.0" encoding="utf-8"?>
<x:worksheet xmlns:x="http://schemas.openxmlformats.org/spreadsheetml/2006/main">
  <x:sheetFormatPr defaultRowHeight="15"/>
  <x:cols>
    <x:col min="1" max="1" width="33.779998779296875" hidden="0" customWidth="1"/>
    <x:col min="2" max="2" width="108.08000183105469" hidden="0" customWidth="1"/>
  </x:cols>
  <x:sheetData>
    <x:row r="1">
      <x:c r="A1" s="12" t="str">
        <x:v>Break-even transport engine</x:v>
      </x:c>
      <x:c r="B1" s="13" t="str"/>
      <x:c r="C1" s="13" t="str"/>
      <x:c r="D1" s="13" t="str"/>
    </x:row>
    <x:row r="2">
      <x:c r="A2" s="14" t="str">
        <x:v>Purpose</x:v>
      </x:c>
      <x:c r="B2" s="13" t="str">
        <x:v>Calculate the loaded-km rate, utilisation and revenue required for break-even and target EBIT margin.</x:v>
      </x:c>
      <x:c r="C2" s="13" t="str"/>
      <x:c r="D2" s="13" t="str"/>
    </x:row>
    <x:row r="3">
      <x:c r="A3" s="14" t="str">
        <x:v>Model design</x:v>
      </x:c>
      <x:c r="B3" s="13" t="str">
        <x:v>Separates variable €/km costs from fixed annual costs, driver costs, structural overhead and optional platform/admin cost.</x:v>
      </x:c>
      <x:c r="C3" s="13" t="str"/>
      <x:c r="D3" s="13" t="str"/>
    </x:row>
    <x:row r="4">
      <x:c r="A4" s="14" t="str">
        <x:v>Improvement vs original sheet</x:v>
      </x:c>
      <x:c r="B4" s="13" t="str">
        <x:v>Driver taxes are calculated from salary using the tax percentage instead of a hardcoded daily tax value.</x:v>
      </x:c>
      <x:c r="C4" s="13" t="str"/>
      <x:c r="D4" s="13" t="str"/>
    </x:row>
    <x:row r="5">
      <x:c r="A5" s="14" t="str">
        <x:v>Key output</x:v>
      </x:c>
      <x:c r="B5" s="13" t="str">
        <x:v>Break-even price per loaded km, required price for target margin, break-even loaded km, break-even utilisation, EBIT and safety margin.</x:v>
      </x:c>
      <x:c r="C5" s="13" t="str"/>
      <x:c r="D5" s="13" t="str"/>
    </x:row>
    <x:row r="6">
      <x:c r="A6" s="14" t="str">
        <x:v>How to use</x:v>
      </x:c>
      <x:c r="B6" s="13" t="str">
        <x:v>Edit assumptions in Inputs. Review results in Engine. Use Sensitivity to test price and load factor.</x:v>
      </x:c>
      <x:c r="C6" s="13" t="str"/>
      <x:c r="D6" s="13" t="str"/>
    </x:row>
    <x:row r="7">
      <x:c r="A7" s="14" t="str">
        <x:v>Note</x:v>
      </x:c>
      <x:c r="B7" s="13" t="str">
        <x:v>Values are prefilled from the uploaded Vehicle1 and Vehicle2 sheets and can be overwritten.</x:v>
      </x:c>
      <x:c r="C7" s="13" t="str"/>
      <x:c r="D7" s="13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36.34000015258789" hidden="0" customWidth="1"/>
  </x:cols>
  <x:sheetData>
    <x:row r="1">
      <x:c r="A1" s="24" t="str">
        <x:v>Input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Comment</x:v>
      </x:c>
    </x:row>
    <x:row r="2">
      <x:c r="A2" s="13" t="str">
        <x:v>Annual total km</x:v>
      </x:c>
      <x:c r="B2" s="13" t="str">
        <x:v>km/year</x:v>
      </x:c>
      <x:c r="C2" s="30" t="n">
        <x:v>113100</x:v>
      </x:c>
      <x:c r="D2" s="30" t="n">
        <x:v>98000</x:v>
      </x:c>
      <x:c r="E2" s="13" t="str">
        <x:v>Total driven km, including empty km</x:v>
      </x:c>
    </x:row>
    <x:row r="3">
      <x:c r="A3" s="13" t="str">
        <x:v>Operating days</x:v>
      </x:c>
      <x:c r="B3" s="13" t="str">
        <x:v>days/year</x:v>
      </x:c>
      <x:c r="C3" s="30" t="n">
        <x:v>228.4</x:v>
      </x:c>
      <x:c r="D3" s="30" t="n">
        <x:v>232.5</x:v>
      </x:c>
      <x:c r="E3" s="13" t="str">
        <x:v>Vehicle operating days</x:v>
      </x:c>
    </x:row>
    <x:row r="4">
      <x:c r="A4" s="13" t="str">
        <x:v>Working days</x:v>
      </x:c>
      <x:c r="B4" s="13" t="str">
        <x:v>days/year</x:v>
      </x:c>
      <x:c r="C4" s="30" t="n">
        <x:v>215.2</x:v>
      </x:c>
      <x:c r="D4" s="30" t="n">
        <x:v>214.6</x:v>
      </x:c>
      <x:c r="E4" s="13" t="str">
        <x:v>Used for driver allowance calculation</x:v>
      </x:c>
    </x:row>
    <x:row r="5">
      <x:c r="A5" s="13" t="str">
        <x:v>Annual working hours</x:v>
      </x:c>
      <x:c r="B5" s="13" t="str">
        <x:v>hours/year</x:v>
      </x:c>
      <x:c r="C5" s="30" t="n">
        <x:v>2123</x:v>
      </x:c>
      <x:c r="D5" s="30" t="n">
        <x:v>2058</x:v>
      </x:c>
      <x:c r="E5" s="13" t="str">
        <x:v>Available driver working hours</x:v>
      </x:c>
    </x:row>
    <x:row r="6">
      <x:c r="A6" s="13" t="str">
        <x:v>Average speed</x:v>
      </x:c>
      <x:c r="B6" s="13" t="str">
        <x:v>km/h</x:v>
      </x:c>
      <x:c r="C6" s="30" t="n">
        <x:v>63.9</x:v>
      </x:c>
      <x:c r="D6" s="30" t="n">
        <x:v>62.5</x:v>
      </x:c>
      <x:c r="E6" s="13" t="str">
        <x:v>Used to estimate driving hours</x:v>
      </x:c>
    </x:row>
    <x:row r="7">
      <x:c r="A7" s="13" t="str">
        <x:v>Loaded ratio</x:v>
      </x:c>
      <x:c r="B7" s="13" t="str">
        <x:v>% loaded km</x:v>
      </x:c>
      <x:c r="C7" s="28" t="n">
        <x:v>0.853</x:v>
      </x:c>
      <x:c r="D7" s="28" t="n">
        <x:v>0.805</x:v>
      </x:c>
      <x:c r="E7" s="13" t="str">
        <x:v>Revenue km divided by total km</x:v>
      </x:c>
    </x:row>
    <x:row r="8">
      <x:c r="A8" s="13" t="str">
        <x:v>Capacity utilisation</x:v>
      </x:c>
      <x:c r="B8" s="13" t="str">
        <x:v>% capacity</x:v>
      </x:c>
      <x:c r="C8" s="28" t="n">
        <x:v>0.868</x:v>
      </x:c>
      <x:c r="D8" s="28" t="n">
        <x:v>0.939</x:v>
      </x:c>
      <x:c r="E8" s="13" t="str">
        <x:v>Payload/capacity usage; diagnostic only</x:v>
      </x:c>
    </x:row>
    <x:row r="9">
      <x:c r="A9" s="13" t="str">
        <x:v>Waiting/loading/unloading time</x:v>
      </x:c>
      <x:c r="B9" s="13" t="str">
        <x:v>hours/day</x:v>
      </x:c>
      <x:c r="C9" s="30" t="n">
        <x:v>3.3833333333</x:v>
      </x:c>
      <x:c r="D9" s="30" t="n">
        <x:v>3.4</x:v>
      </x:c>
      <x:c r="E9" s="13" t="str">
        <x:v>Converted from original waiting-time text</x:v>
      </x:c>
    </x:row>
    <x:row r="10">
      <x:c r="A10" s="13" t="str">
        <x:v>Fuel consumption</x:v>
      </x:c>
      <x:c r="B10" s="13" t="str">
        <x:v>L/100km</x:v>
      </x:c>
      <x:c r="C10" s="30" t="n">
        <x:v>34.2</x:v>
      </x:c>
      <x:c r="D10" s="30" t="n">
        <x:v>33.8</x:v>
      </x:c>
      <x:c r="E10" s="13" t="str">
        <x:v>Average consumption</x:v>
      </x:c>
    </x:row>
    <x:row r="11">
      <x:c r="A11" s="13" t="str">
        <x:v>Fuel price excl. VAT</x:v>
      </x:c>
      <x:c r="B11" s="13" t="str">
        <x:v>EUR/L</x:v>
      </x:c>
      <x:c r="C11" s="30" t="n">
        <x:v>1.265524625</x:v>
      </x:c>
      <x:c r="D11" s="30" t="n">
        <x:v>1.265524625</x:v>
      </x:c>
      <x:c r="E11" s="13" t="str">
        <x:v>Original formula 5.91 / 4.67</x:v>
      </x:c>
    </x:row>
    <x:row r="12">
      <x:c r="A12" s="13" t="str">
        <x:v>Tyres annual cost</x:v>
      </x:c>
      <x:c r="B12" s="13" t="str">
        <x:v>EUR/year</x:v>
      </x:c>
      <x:c r="C12" s="30" t="n">
        <x:v>3098</x:v>
      </x:c>
      <x:c r="D12" s="30" t="n">
        <x:v>3101</x:v>
      </x:c>
      <x:c r="E12" s="13" t="str"/>
    </x:row>
    <x:row r="13">
      <x:c r="A13" s="13" t="str">
        <x:v>Maintenance annual cost</x:v>
      </x:c>
      <x:c r="B13" s="13" t="str">
        <x:v>EUR/year</x:v>
      </x:c>
      <x:c r="C13" s="30" t="n">
        <x:v>8221</x:v>
      </x:c>
      <x:c r="D13" s="30" t="n">
        <x:v>7278</x:v>
      </x:c>
      <x:c r="E13" s="13" t="str"/>
    </x:row>
    <x:row r="14">
      <x:c r="A14" s="13" t="str">
        <x:v>Road fees annual cost</x:v>
      </x:c>
      <x:c r="B14" s="13" t="str">
        <x:v>EUR/year</x:v>
      </x:c>
      <x:c r="C14" s="30" t="n">
        <x:v>8090</x:v>
      </x:c>
      <x:c r="D14" s="30" t="n">
        <x:v>5805</x:v>
      </x:c>
      <x:c r="E14" s="13" t="str"/>
    </x:row>
    <x:row r="15">
      <x:c r="A15" s="13" t="str">
        <x:v>Tractor ownership annual cost</x:v>
      </x:c>
      <x:c r="B15" s="13" t="str">
        <x:v>EUR/year</x:v>
      </x:c>
      <x:c r="C15" s="30" t="n">
        <x:v>10793</x:v>
      </x:c>
      <x:c r="D15" s="30" t="n">
        <x:v>10934</x:v>
      </x:c>
      <x:c r="E15" s="13" t="str"/>
    </x:row>
    <x:row r="16">
      <x:c r="A16" s="13" t="str">
        <x:v>Trailer ownership annual cost</x:v>
      </x:c>
      <x:c r="B16" s="13" t="str">
        <x:v>EUR/year</x:v>
      </x:c>
      <x:c r="C16" s="30" t="n">
        <x:v>3208</x:v>
      </x:c>
      <x:c r="D16" s="30" t="n">
        <x:v>3551</x:v>
      </x:c>
      <x:c r="E16" s="13" t="str"/>
    </x:row>
    <x:row r="17">
      <x:c r="A17" s="13" t="str">
        <x:v>Vehicle insurance annual</x:v>
      </x:c>
      <x:c r="B17" s="13" t="str">
        <x:v>EUR/year</x:v>
      </x:c>
      <x:c r="C17" s="30" t="n">
        <x:v>2198</x:v>
      </x:c>
      <x:c r="D17" s="30" t="n">
        <x:v>2598</x:v>
      </x:c>
      <x:c r="E17" s="13" t="str"/>
    </x:row>
    <x:row r="18">
      <x:c r="A18" s="13" t="str">
        <x:v>Cargo insurance annual</x:v>
      </x:c>
      <x:c r="B18" s="13" t="str">
        <x:v>EUR/year</x:v>
      </x:c>
      <x:c r="C18" s="30" t="n">
        <x:v>477</x:v>
      </x:c>
      <x:c r="D18" s="30" t="n">
        <x:v>411</x:v>
      </x:c>
      <x:c r="E18" s="13" t="str"/>
    </x:row>
    <x:row r="19">
      <x:c r="A19" s="13" t="str">
        <x:v>Vehicle taxes annual</x:v>
      </x:c>
      <x:c r="B19" s="13" t="str">
        <x:v>EUR/year</x:v>
      </x:c>
      <x:c r="C19" s="30" t="n">
        <x:v>561</x:v>
      </x:c>
      <x:c r="D19" s="30" t="n">
        <x:v>577</x:v>
      </x:c>
      <x:c r="E19" s="13" t="str"/>
    </x:row>
    <x:row r="20">
      <x:c r="A20" s="13" t="str">
        <x:v>Monthly driver salary</x:v>
      </x:c>
      <x:c r="B20" s="13" t="str">
        <x:v>EUR/month</x:v>
      </x:c>
      <x:c r="C20" s="30" t="n">
        <x:v>2348.72</x:v>
      </x:c>
      <x:c r="D20" s="30" t="n">
        <x:v>2182.15</x:v>
      </x:c>
      <x:c r="E20" s="13" t="str"/>
    </x:row>
    <x:row r="21">
      <x:c r="A21" s="13" t="str">
        <x:v>Employer tax rate on salary</x:v>
      </x:c>
      <x:c r="B21" s="13" t="str">
        <x:v>%</x:v>
      </x:c>
      <x:c r="C21" s="28" t="n">
        <x:v>0.4759</x:v>
      </x:c>
      <x:c r="D21" s="28" t="n">
        <x:v>0.4706</x:v>
      </x:c>
      <x:c r="E21" s="13" t="str">
        <x:v>Improved: used directly in salary cost formula</x:v>
      </x:c>
    </x:row>
    <x:row r="22">
      <x:c r="A22" s="13" t="str">
        <x:v>Travel allowance per working day</x:v>
      </x:c>
      <x:c r="B22" s="13" t="str">
        <x:v>EUR/day</x:v>
      </x:c>
      <x:c r="C22" s="30" t="n">
        <x:v>38.36</x:v>
      </x:c>
      <x:c r="D22" s="30" t="n">
        <x:v>16.53</x:v>
      </x:c>
      <x:c r="E22" s="13" t="str"/>
    </x:row>
    <x:row r="23">
      <x:c r="A23" s="13" t="str">
        <x:v>Drivers per vehicle</x:v>
      </x:c>
      <x:c r="B23" s="13" t="str">
        <x:v>count</x:v>
      </x:c>
      <x:c r="C23" s="30" t="n">
        <x:v>1.064</x:v>
      </x:c>
      <x:c r="D23" s="30" t="n">
        <x:v>1.085</x:v>
      </x:c>
      <x:c r="E23" s="13" t="str"/>
    </x:row>
    <x:row r="24">
      <x:c r="A24" s="13" t="str">
        <x:v>Structural overhead annual</x:v>
      </x:c>
      <x:c r="B24" s="13" t="str">
        <x:v>EUR/year</x:v>
      </x:c>
      <x:c r="C24" s="30" t="n">
        <x:v>17886</x:v>
      </x:c>
      <x:c r="D24" s="30" t="n">
        <x:v>17820</x:v>
      </x:c>
      <x:c r="E24" s="13" t="str"/>
    </x:row>
    <x:row r="25">
      <x:c r="A25" s="13" t="str">
        <x:v>Commercial/admin overhead annual cost</x:v>
      </x:c>
      <x:c r="B25" s="13" t="str">
        <x:v>EUR/year</x:v>
      </x:c>
      <x:c r="C25" s="30" t="n">
        <x:v>0</x:v>
      </x:c>
      <x:c r="D25" s="30" t="n">
        <x:v>0</x:v>
      </x:c>
      <x:c r="E25" s="13" t="str">
        <x:v>Optional general commercial overhead, set to zero by default</x:v>
      </x:c>
    </x:row>
    <x:row r="26">
      <x:c r="A26" s="13" t="str">
        <x:v>Target EBIT margin</x:v>
      </x:c>
      <x:c r="B26" s="13" t="str">
        <x:v>% revenue</x:v>
      </x:c>
      <x:c r="C26" s="28" t="n">
        <x:v>0.1</x:v>
      </x:c>
      <x:c r="D26" s="28" t="n">
        <x:v>0.1</x:v>
      </x:c>
      <x:c r="E26" s="13" t="str">
        <x:v>Required margin on revenue</x:v>
      </x:c>
    </x:row>
    <x:row r="27">
      <x:c r="A27" s="13" t="str">
        <x:v>Customer rate per loaded km</x:v>
      </x:c>
      <x:c r="B27" s="13" t="str">
        <x:v>EUR/loaded km</x:v>
      </x:c>
      <x:c r="C27" s="30" t="n">
        <x:v>1.85</x:v>
      </x:c>
      <x:c r="D27" s="30" t="n">
        <x:v>2</x:v>
      </x:c>
      <x:c r="E27" s="13" t="str">
        <x:v>Editable commercial price 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97bf671187b443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42.65999984741211" hidden="0" customWidth="1"/>
  </x:cols>
  <x:sheetData>
    <x:row r="1">
      <x:c r="A1" s="24" t="str">
        <x:v>Metric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Formula logic</x:v>
      </x:c>
    </x:row>
    <x:row r="2">
      <x:c r="A2" s="14" t="str">
        <x:v>Input links</x:v>
      </x:c>
      <x:c r="B2" s="14" t="str"/>
      <x:c r="C2" s="14" t="str"/>
      <x:c r="D2" s="14" t="str"/>
      <x:c r="E2" s="14" t="str"/>
    </x:row>
    <x:row r="3">
      <x:c r="A3" s="13" t="str">
        <x:v>Annual total km</x:v>
      </x:c>
      <x:c r="B3" s="13" t="str">
        <x:v>km/year</x:v>
      </x:c>
      <x:c r="C3" s="36" t="n">
        <x:f>Inputs!C2</x:f>
        <x:v>113100</x:v>
      </x:c>
      <x:c r="D3" s="36" t="n">
        <x:f>Inputs!D2</x:f>
        <x:v>98000</x:v>
      </x:c>
      <x:c r="E3" s="13" t="str">
        <x:v>Inputs</x:v>
      </x:c>
    </x:row>
    <x:row r="4">
      <x:c r="A4" s="13" t="str">
        <x:v>Operating days</x:v>
      </x:c>
      <x:c r="B4" s="13" t="str">
        <x:v>days/year</x:v>
      </x:c>
      <x:c r="C4" s="36" t="n">
        <x:f>Inputs!C3</x:f>
        <x:v>228.4</x:v>
      </x:c>
      <x:c r="D4" s="36" t="n">
        <x:f>Inputs!D3</x:f>
        <x:v>232.5</x:v>
      </x:c>
      <x:c r="E4" s="13" t="str">
        <x:v>Inputs</x:v>
      </x:c>
    </x:row>
    <x:row r="5">
      <x:c r="A5" s="13" t="str">
        <x:v>Working days</x:v>
      </x:c>
      <x:c r="B5" s="13" t="str">
        <x:v>days/year</x:v>
      </x:c>
      <x:c r="C5" s="36" t="n">
        <x:f>Inputs!C4</x:f>
        <x:v>215.2</x:v>
      </x:c>
      <x:c r="D5" s="36" t="n">
        <x:f>Inputs!D4</x:f>
        <x:v>214.6</x:v>
      </x:c>
      <x:c r="E5" s="13" t="str">
        <x:v>Inputs</x:v>
      </x:c>
    </x:row>
    <x:row r="6">
      <x:c r="A6" s="13" t="str">
        <x:v>Annual working hours</x:v>
      </x:c>
      <x:c r="B6" s="13" t="str">
        <x:v>hours/year</x:v>
      </x:c>
      <x:c r="C6" s="36" t="n">
        <x:f>Inputs!C5</x:f>
        <x:v>2123</x:v>
      </x:c>
      <x:c r="D6" s="36" t="n">
        <x:f>Inputs!D5</x:f>
        <x:v>2058</x:v>
      </x:c>
      <x:c r="E6" s="13" t="str">
        <x:v>Inputs</x:v>
      </x:c>
    </x:row>
    <x:row r="7">
      <x:c r="A7" s="13" t="str">
        <x:v>Average speed</x:v>
      </x:c>
      <x:c r="B7" s="13" t="str">
        <x:v>km/h</x:v>
      </x:c>
      <x:c r="C7" s="36" t="n">
        <x:f>Inputs!C6</x:f>
        <x:v>63.9</x:v>
      </x:c>
      <x:c r="D7" s="36" t="n">
        <x:f>Inputs!D6</x:f>
        <x:v>62.5</x:v>
      </x:c>
      <x:c r="E7" s="13" t="str">
        <x:v>Inputs</x:v>
      </x:c>
    </x:row>
    <x:row r="8">
      <x:c r="A8" s="13" t="str">
        <x:v>Loaded ratio</x:v>
      </x:c>
      <x:c r="B8" s="13" t="str">
        <x:v>% loaded km</x:v>
      </x:c>
      <x:c r="C8" s="42" t="n">
        <x:f>Inputs!C7</x:f>
        <x:v>0.853</x:v>
      </x:c>
      <x:c r="D8" s="42" t="n">
        <x:f>Inputs!D7</x:f>
        <x:v>0.805</x:v>
      </x:c>
      <x:c r="E8" s="13" t="str">
        <x:v>Inputs</x:v>
      </x:c>
    </x:row>
    <x:row r="9">
      <x:c r="A9" s="13" t="str">
        <x:v>Capacity utilisation</x:v>
      </x:c>
      <x:c r="B9" s="13" t="str">
        <x:v>% capacity</x:v>
      </x:c>
      <x:c r="C9" s="42" t="n">
        <x:f>Inputs!C8</x:f>
        <x:v>0.868</x:v>
      </x:c>
      <x:c r="D9" s="42" t="n">
        <x:f>Inputs!D8</x:f>
        <x:v>0.939</x:v>
      </x:c>
      <x:c r="E9" s="13" t="str">
        <x:v>Diagnostic</x:v>
      </x:c>
    </x:row>
    <x:row r="10">
      <x:c r="A10" s="13" t="str">
        <x:v>Waiting/loading/unloading time</x:v>
      </x:c>
      <x:c r="B10" s="13" t="str">
        <x:v>hours/day</x:v>
      </x:c>
      <x:c r="C10" s="36" t="n">
        <x:f>Inputs!C9</x:f>
        <x:v>3.3833333333</x:v>
      </x:c>
      <x:c r="D10" s="36" t="n">
        <x:f>Inputs!D9</x:f>
        <x:v>3.4</x:v>
      </x:c>
      <x:c r="E10" s="13" t="str">
        <x:v>Inputs</x:v>
      </x:c>
    </x:row>
    <x:row r="11">
      <x:c r="A11" s="13" t="str">
        <x:v>Fuel consumption</x:v>
      </x:c>
      <x:c r="B11" s="13" t="str">
        <x:v>L/100km</x:v>
      </x:c>
      <x:c r="C11" s="36" t="n">
        <x:f>Inputs!C10</x:f>
        <x:v>34.2</x:v>
      </x:c>
      <x:c r="D11" s="36" t="n">
        <x:f>Inputs!D10</x:f>
        <x:v>33.8</x:v>
      </x:c>
      <x:c r="E11" s="13" t="str">
        <x:v>Inputs</x:v>
      </x:c>
    </x:row>
    <x:row r="12">
      <x:c r="A12" s="13" t="str">
        <x:v>Fuel price excl. VAT</x:v>
      </x:c>
      <x:c r="B12" s="13" t="str">
        <x:v>EUR/L</x:v>
      </x:c>
      <x:c r="C12" s="36" t="n">
        <x:f>Inputs!C11</x:f>
        <x:v>1.265524625</x:v>
      </x:c>
      <x:c r="D12" s="36" t="n">
        <x:f>Inputs!D11</x:f>
        <x:v>1.265524625</x:v>
      </x:c>
      <x:c r="E12" s="13" t="str">
        <x:v>Inputs</x:v>
      </x:c>
    </x:row>
    <x:row r="13">
      <x:c r="A13" s="13" t="str">
        <x:v>Tyres annual cost</x:v>
      </x:c>
      <x:c r="B13" s="13" t="str">
        <x:v>EUR/year</x:v>
      </x:c>
      <x:c r="C13" s="36" t="n">
        <x:f>Inputs!C12</x:f>
        <x:v>3098</x:v>
      </x:c>
      <x:c r="D13" s="36" t="n">
        <x:f>Inputs!D12</x:f>
        <x:v>3101</x:v>
      </x:c>
      <x:c r="E13" s="13" t="str">
        <x:v>Inputs</x:v>
      </x:c>
    </x:row>
    <x:row r="14">
      <x:c r="A14" s="13" t="str">
        <x:v>Maintenance annual cost</x:v>
      </x:c>
      <x:c r="B14" s="13" t="str">
        <x:v>EUR/year</x:v>
      </x:c>
      <x:c r="C14" s="36" t="n">
        <x:f>Inputs!C13</x:f>
        <x:v>8221</x:v>
      </x:c>
      <x:c r="D14" s="36" t="n">
        <x:f>Inputs!D13</x:f>
        <x:v>7278</x:v>
      </x:c>
      <x:c r="E14" s="13" t="str">
        <x:v>Inputs</x:v>
      </x:c>
    </x:row>
    <x:row r="15">
      <x:c r="A15" s="13" t="str">
        <x:v>Road fees annual cost</x:v>
      </x:c>
      <x:c r="B15" s="13" t="str">
        <x:v>EUR/year</x:v>
      </x:c>
      <x:c r="C15" s="36" t="n">
        <x:f>Inputs!C14</x:f>
        <x:v>8090</x:v>
      </x:c>
      <x:c r="D15" s="36" t="n">
        <x:f>Inputs!D14</x:f>
        <x:v>5805</x:v>
      </x:c>
      <x:c r="E15" s="13" t="str">
        <x:v>Inputs</x:v>
      </x:c>
    </x:row>
    <x:row r="16">
      <x:c r="A16" s="13" t="str">
        <x:v>Tractor ownership annual cost</x:v>
      </x:c>
      <x:c r="B16" s="13" t="str">
        <x:v>EUR/year</x:v>
      </x:c>
      <x:c r="C16" s="36" t="n">
        <x:f>Inputs!C15</x:f>
        <x:v>10793</x:v>
      </x:c>
      <x:c r="D16" s="36" t="n">
        <x:f>Inputs!D15</x:f>
        <x:v>10934</x:v>
      </x:c>
      <x:c r="E16" s="13" t="str">
        <x:v>Inputs</x:v>
      </x:c>
    </x:row>
    <x:row r="17">
      <x:c r="A17" s="13" t="str">
        <x:v>Trailer ownership annual cost</x:v>
      </x:c>
      <x:c r="B17" s="13" t="str">
        <x:v>EUR/year</x:v>
      </x:c>
      <x:c r="C17" s="36" t="n">
        <x:f>Inputs!C16</x:f>
        <x:v>3208</x:v>
      </x:c>
      <x:c r="D17" s="36" t="n">
        <x:f>Inputs!D16</x:f>
        <x:v>3551</x:v>
      </x:c>
      <x:c r="E17" s="13" t="str">
        <x:v>Inputs</x:v>
      </x:c>
    </x:row>
    <x:row r="18">
      <x:c r="A18" s="13" t="str">
        <x:v>Vehicle insurance annual</x:v>
      </x:c>
      <x:c r="B18" s="13" t="str">
        <x:v>EUR/year</x:v>
      </x:c>
      <x:c r="C18" s="36" t="n">
        <x:f>Inputs!C17</x:f>
        <x:v>2198</x:v>
      </x:c>
      <x:c r="D18" s="36" t="n">
        <x:f>Inputs!D17</x:f>
        <x:v>2598</x:v>
      </x:c>
      <x:c r="E18" s="13" t="str">
        <x:v>Inputs</x:v>
      </x:c>
    </x:row>
    <x:row r="19">
      <x:c r="A19" s="13" t="str">
        <x:v>Cargo insurance annual</x:v>
      </x:c>
      <x:c r="B19" s="13" t="str">
        <x:v>EUR/year</x:v>
      </x:c>
      <x:c r="C19" s="36" t="n">
        <x:f>Inputs!C18</x:f>
        <x:v>477</x:v>
      </x:c>
      <x:c r="D19" s="36" t="n">
        <x:f>Inputs!D18</x:f>
        <x:v>411</x:v>
      </x:c>
      <x:c r="E19" s="13" t="str">
        <x:v>Inputs</x:v>
      </x:c>
    </x:row>
    <x:row r="20">
      <x:c r="A20" s="13" t="str">
        <x:v>Vehicle taxes annual</x:v>
      </x:c>
      <x:c r="B20" s="13" t="str">
        <x:v>EUR/year</x:v>
      </x:c>
      <x:c r="C20" s="36" t="n">
        <x:f>Inputs!C19</x:f>
        <x:v>561</x:v>
      </x:c>
      <x:c r="D20" s="36" t="n">
        <x:f>Inputs!D19</x:f>
        <x:v>577</x:v>
      </x:c>
      <x:c r="E20" s="13" t="str">
        <x:v>Inputs</x:v>
      </x:c>
    </x:row>
    <x:row r="21">
      <x:c r="A21" s="13" t="str">
        <x:v>Monthly driver salary</x:v>
      </x:c>
      <x:c r="B21" s="13" t="str">
        <x:v>EUR/month</x:v>
      </x:c>
      <x:c r="C21" s="36" t="n">
        <x:f>Inputs!C20</x:f>
        <x:v>2348.72</x:v>
      </x:c>
      <x:c r="D21" s="36" t="n">
        <x:f>Inputs!D20</x:f>
        <x:v>2182.15</x:v>
      </x:c>
      <x:c r="E21" s="13" t="str">
        <x:v>Inputs</x:v>
      </x:c>
    </x:row>
    <x:row r="22">
      <x:c r="A22" s="13" t="str">
        <x:v>Employer tax rate on salary</x:v>
      </x:c>
      <x:c r="B22" s="13" t="str">
        <x:v>%</x:v>
      </x:c>
      <x:c r="C22" s="42" t="n">
        <x:f>Inputs!C21</x:f>
        <x:v>0.4759</x:v>
      </x:c>
      <x:c r="D22" s="42" t="n">
        <x:f>Inputs!D21</x:f>
        <x:v>0.4706</x:v>
      </x:c>
      <x:c r="E22" s="13" t="str">
        <x:v>Inputs</x:v>
      </x:c>
    </x:row>
    <x:row r="23">
      <x:c r="A23" s="13" t="str">
        <x:v>Travel allowance per working day</x:v>
      </x:c>
      <x:c r="B23" s="13" t="str">
        <x:v>EUR/day</x:v>
      </x:c>
      <x:c r="C23" s="36" t="n">
        <x:f>Inputs!C22</x:f>
        <x:v>38.36</x:v>
      </x:c>
      <x:c r="D23" s="36" t="n">
        <x:f>Inputs!D22</x:f>
        <x:v>16.53</x:v>
      </x:c>
      <x:c r="E23" s="13" t="str">
        <x:v>Inputs</x:v>
      </x:c>
    </x:row>
    <x:row r="24">
      <x:c r="A24" s="13" t="str">
        <x:v>Drivers per vehicle</x:v>
      </x:c>
      <x:c r="B24" s="13" t="str">
        <x:v>count</x:v>
      </x:c>
      <x:c r="C24" s="36" t="n">
        <x:f>Inputs!C23</x:f>
        <x:v>1.064</x:v>
      </x:c>
      <x:c r="D24" s="36" t="n">
        <x:f>Inputs!D23</x:f>
        <x:v>1.085</x:v>
      </x:c>
      <x:c r="E24" s="13" t="str">
        <x:v>Inputs</x:v>
      </x:c>
    </x:row>
    <x:row r="25">
      <x:c r="A25" s="13" t="str">
        <x:v>Structural overhead annual</x:v>
      </x:c>
      <x:c r="B25" s="13" t="str">
        <x:v>EUR/year</x:v>
      </x:c>
      <x:c r="C25" s="36" t="n">
        <x:f>Inputs!C24</x:f>
        <x:v>17886</x:v>
      </x:c>
      <x:c r="D25" s="36" t="n">
        <x:f>Inputs!D24</x:f>
        <x:v>17820</x:v>
      </x:c>
      <x:c r="E25" s="13" t="str">
        <x:v>Inputs</x:v>
      </x:c>
    </x:row>
    <x:row r="26">
      <x:c r="A26" s="13" t="str">
        <x:v>Commercial/admin overhead annual cost</x:v>
      </x:c>
      <x:c r="B26" s="13" t="str">
        <x:v>EUR/year</x:v>
      </x:c>
      <x:c r="C26" s="36" t="n">
        <x:f>Inputs!C25</x:f>
        <x:v>0</x:v>
      </x:c>
      <x:c r="D26" s="36" t="n">
        <x:f>Inputs!D25</x:f>
        <x:v>0</x:v>
      </x:c>
      <x:c r="E26" s="13" t="str">
        <x:v>Inputs</x:v>
      </x:c>
    </x:row>
    <x:row r="27">
      <x:c r="A27" s="13" t="str">
        <x:v>Target EBIT margin</x:v>
      </x:c>
      <x:c r="B27" s="13" t="str">
        <x:v>% revenue</x:v>
      </x:c>
      <x:c r="C27" s="42" t="n">
        <x:f>Inputs!C26</x:f>
        <x:v>0.1</x:v>
      </x:c>
      <x:c r="D27" s="42" t="n">
        <x:f>Inputs!D26</x:f>
        <x:v>0.1</x:v>
      </x:c>
      <x:c r="E27" s="13" t="str">
        <x:v>Inputs</x:v>
      </x:c>
    </x:row>
    <x:row r="28">
      <x:c r="A28" s="13" t="str">
        <x:v>Customer rate per loaded km</x:v>
      </x:c>
      <x:c r="B28" s="13" t="str">
        <x:v>EUR/loaded km</x:v>
      </x:c>
      <x:c r="C28" s="36" t="n">
        <x:f>Inputs!C27</x:f>
        <x:v>1.85</x:v>
      </x:c>
      <x:c r="D28" s="36" t="n">
        <x:f>Inputs!D27</x:f>
        <x:v>2</x:v>
      </x:c>
      <x:c r="E28" s="13" t="str">
        <x:v>Inputs</x:v>
      </x:c>
    </x:row>
    <x:row r="29">
      <x:c r="A29" s="13" t="str"/>
      <x:c r="B29" s="13" t="str"/>
      <x:c r="C29" s="36" t="str"/>
      <x:c r="D29" s="36" t="str"/>
      <x:c r="E29" s="13" t="str"/>
    </x:row>
    <x:row r="30">
      <x:c r="A30" s="14" t="str">
        <x:v>Operational outputs</x:v>
      </x:c>
      <x:c r="B30" s="14" t="str"/>
      <x:c r="C30" s="37" t="str"/>
      <x:c r="D30" s="37" t="str"/>
      <x:c r="E30" s="14" t="str"/>
    </x:row>
    <x:row r="31">
      <x:c r="A31" s="13" t="str">
        <x:v>Loaded revenue km</x:v>
      </x:c>
      <x:c r="B31" s="13" t="str">
        <x:v>km/year</x:v>
      </x:c>
      <x:c r="C31" s="36" t="n">
        <x:f>IFERROR(C3*C8,0)</x:f>
        <x:v>96474.3</x:v>
      </x:c>
      <x:c r="D31" s="36" t="n">
        <x:f>IFERROR(D3*D8,0)</x:f>
        <x:v>78890</x:v>
      </x:c>
      <x:c r="E31" s="13" t="str">
        <x:v>Annual total km × loaded ratio</x:v>
      </x:c>
    </x:row>
    <x:row r="32">
      <x:c r="A32" s="13" t="str">
        <x:v>Empty/non-revenue km</x:v>
      </x:c>
      <x:c r="B32" s="13" t="str">
        <x:v>km/year</x:v>
      </x:c>
      <x:c r="C32" s="36" t="n">
        <x:f>IFERROR(C3-C31,0)</x:f>
        <x:v>16625.699999999997</x:v>
      </x:c>
      <x:c r="D32" s="36" t="n">
        <x:f>IFERROR(D3-D31,0)</x:f>
        <x:v>19110</x:v>
      </x:c>
      <x:c r="E32" s="13" t="str">
        <x:v>Annual total km - loaded km</x:v>
      </x:c>
    </x:row>
    <x:row r="33">
      <x:c r="A33" s="13" t="str">
        <x:v>Driving hours</x:v>
      </x:c>
      <x:c r="B33" s="13" t="str">
        <x:v>hours/year</x:v>
      </x:c>
      <x:c r="C33" s="36" t="n">
        <x:f>IFERROR(C3/C7,0)</x:f>
        <x:v>1769.9530516431926</x:v>
      </x:c>
      <x:c r="D33" s="36" t="n">
        <x:f>IFERROR(D3/D7,0)</x:f>
        <x:v>1568</x:v>
      </x:c>
      <x:c r="E33" s="13" t="str">
        <x:v>Annual total km / average speed</x:v>
      </x:c>
    </x:row>
    <x:row r="34">
      <x:c r="A34" s="13" t="str">
        <x:v>Waiting/loading/unloading hours</x:v>
      </x:c>
      <x:c r="B34" s="13" t="str">
        <x:v>hours/year</x:v>
      </x:c>
      <x:c r="C34" s="36" t="n">
        <x:f>IFERROR(C4*C10,0)</x:f>
        <x:v>772.7533333257201</x:v>
      </x:c>
      <x:c r="D34" s="36" t="n">
        <x:f>IFERROR(D4*D10,0)</x:f>
        <x:v>790.5</x:v>
      </x:c>
      <x:c r="E34" s="13" t="str">
        <x:v>Operating days × waiting time/day</x:v>
      </x:c>
    </x:row>
    <x:row r="35">
      <x:c r="A35" s="13" t="str">
        <x:v>Total activity hours</x:v>
      </x:c>
      <x:c r="B35" s="13" t="str">
        <x:v>hours/year</x:v>
      </x:c>
      <x:c r="C35" s="36" t="n">
        <x:f>IFERROR(C33+C34,0)</x:f>
        <x:v>2542.7063849689125</x:v>
      </x:c>
      <x:c r="D35" s="36" t="n">
        <x:f>IFERROR(D33+D34,0)</x:f>
        <x:v>2358.5</x:v>
      </x:c>
      <x:c r="E35" s="13" t="str">
        <x:v>Driving hours + waiting/loading/unloading hours</x:v>
      </x:c>
    </x:row>
    <x:row r="36">
      <x:c r="A36" s="13" t="str"/>
      <x:c r="B36" s="13" t="str"/>
      <x:c r="C36" s="36" t="str"/>
      <x:c r="D36" s="36" t="str"/>
      <x:c r="E36" s="13" t="str"/>
    </x:row>
    <x:row r="37">
      <x:c r="A37" s="14" t="str">
        <x:v>Variable cost block</x:v>
      </x:c>
      <x:c r="B37" s="14" t="str"/>
      <x:c r="C37" s="37" t="str"/>
      <x:c r="D37" s="37" t="str"/>
      <x:c r="E37" s="14" t="str"/>
    </x:row>
    <x:row r="38">
      <x:c r="A38" s="13" t="str">
        <x:v>Fuel cost</x:v>
      </x:c>
      <x:c r="B38" s="13" t="str">
        <x:v>EUR/total km</x:v>
      </x:c>
      <x:c r="C38" s="46" t="n">
        <x:f>IFERROR(C11/100*C12,0)</x:f>
        <x:v>0.43280942175000003</x:v>
      </x:c>
      <x:c r="D38" s="46" t="n">
        <x:f>IFERROR(D11/100*D12,0)</x:f>
        <x:v>0.42774732325</x:v>
      </x:c>
      <x:c r="E38" s="13" t="str">
        <x:v>Fuel consumption / 100 × fuel price</x:v>
      </x:c>
    </x:row>
    <x:row r="39">
      <x:c r="A39" s="13" t="str">
        <x:v>Tyres cost</x:v>
      </x:c>
      <x:c r="B39" s="13" t="str">
        <x:v>EUR/total km</x:v>
      </x:c>
      <x:c r="C39" s="46" t="n">
        <x:f>IFERROR(C13/C3,0)</x:f>
        <x:v>0.027391688770999116</x:v>
      </x:c>
      <x:c r="D39" s="46" t="n">
        <x:f>IFERROR(D13/D3,0)</x:f>
        <x:v>0.031642857142857146</x:v>
      </x:c>
      <x:c r="E39" s="13" t="str">
        <x:v>Annual tyres / annual total km</x:v>
      </x:c>
    </x:row>
    <x:row r="40">
      <x:c r="A40" s="13" t="str">
        <x:v>Maintenance cost</x:v>
      </x:c>
      <x:c r="B40" s="13" t="str">
        <x:v>EUR/total km</x:v>
      </x:c>
      <x:c r="C40" s="46" t="n">
        <x:f>IFERROR(C14/C3,0)</x:f>
        <x:v>0.07268788682581787</x:v>
      </x:c>
      <x:c r="D40" s="46" t="n">
        <x:f>IFERROR(D14/D3,0)</x:f>
        <x:v>0.07426530612244898</x:v>
      </x:c>
      <x:c r="E40" s="13" t="str">
        <x:v>Annual maintenance / annual total km</x:v>
      </x:c>
    </x:row>
    <x:row r="41">
      <x:c r="A41" s="13" t="str">
        <x:v>Road fees cost</x:v>
      </x:c>
      <x:c r="B41" s="13" t="str">
        <x:v>EUR/total km</x:v>
      </x:c>
      <x:c r="C41" s="46" t="n">
        <x:f>IFERROR(C15/C3,0)</x:f>
        <x:v>0.07152961980548188</x:v>
      </x:c>
      <x:c r="D41" s="46" t="n">
        <x:f>IFERROR(D15/D3,0)</x:f>
        <x:v>0.05923469387755102</x:v>
      </x:c>
      <x:c r="E41" s="13" t="str">
        <x:v>Annual road fees / annual total km</x:v>
      </x:c>
    </x:row>
    <x:row r="42">
      <x:c r="A42" s="13" t="str">
        <x:v>Variable operating cost</x:v>
      </x:c>
      <x:c r="B42" s="13" t="str">
        <x:v>EUR/total km</x:v>
      </x:c>
      <x:c r="C42" s="46" t="n">
        <x:f>SUM(C38:C41)</x:f>
        <x:v>0.6044186171522989</x:v>
      </x:c>
      <x:c r="D42" s="46" t="n">
        <x:f>SUM(D38:D41)</x:f>
        <x:v>0.5928901803928571</x:v>
      </x:c>
      <x:c r="E42" s="13" t="str">
        <x:v>Fuel + tyres + maintenance + road fees</x:v>
      </x:c>
    </x:row>
    <x:row r="43">
      <x:c r="A43" s="13" t="str">
        <x:v>Variable operating cost</x:v>
      </x:c>
      <x:c r="B43" s="13" t="str">
        <x:v>EUR/loaded km</x:v>
      </x:c>
      <x:c r="C43" s="46" t="n">
        <x:f>IFERROR(C42/C8,0)</x:f>
        <x:v>0.7085798559815931</x:v>
      </x:c>
      <x:c r="D43" s="46" t="n">
        <x:f>IFERROR(D42/D8,0)</x:f>
        <x:v>0.736509540860692</x:v>
      </x:c>
      <x:c r="E43" s="13" t="str">
        <x:v>Variable cost per total km / loaded ratio</x:v>
      </x:c>
    </x:row>
    <x:row r="44">
      <x:c r="A44" s="13" t="str">
        <x:v>Annual variable operating cost</x:v>
      </x:c>
      <x:c r="B44" s="13" t="str">
        <x:v>EUR/year</x:v>
      </x:c>
      <x:c r="C44" s="36" t="n">
        <x:f>IFERROR(C42*C3,0)</x:f>
        <x:v>68359.74559992501</x:v>
      </x:c>
      <x:c r="D44" s="36" t="n">
        <x:f>IFERROR(D42*D3,0)</x:f>
        <x:v>58103.2376785</x:v>
      </x:c>
      <x:c r="E44" s="13" t="str">
        <x:v>Variable cost per total km × annual total km</x:v>
      </x:c>
    </x:row>
    <x:row r="45">
      <x:c r="A45" s="13" t="str"/>
      <x:c r="B45" s="13" t="str"/>
      <x:c r="C45" s="36" t="str"/>
      <x:c r="D45" s="36" t="str"/>
      <x:c r="E45" s="13" t="str"/>
    </x:row>
    <x:row r="46">
      <x:c r="A46" s="14" t="str">
        <x:v>Driver cost block</x:v>
      </x:c>
      <x:c r="B46" s="14" t="str"/>
      <x:c r="C46" s="37" t="str"/>
      <x:c r="D46" s="37" t="str"/>
      <x:c r="E46" s="14" t="str"/>
    </x:row>
    <x:row r="47">
      <x:c r="A47" s="13" t="str">
        <x:v>Salary incl. employer taxes</x:v>
      </x:c>
      <x:c r="B47" s="13" t="str">
        <x:v>EUR/year</x:v>
      </x:c>
      <x:c r="C47" s="36" t="n">
        <x:f>IFERROR(C21*12*C24*(1+C22),0)</x:f>
        <x:v>44259.963627264</x:v>
      </x:c>
      <x:c r="D47" s="36" t="n">
        <x:f>IFERROR(D21*12*D24*(1+D22),0)</x:f>
        <x:v>41782.0886658</x:v>
      </x:c>
      <x:c r="E47" s="13" t="str">
        <x:v>Monthly salary × 12 × drivers × (1 + tax rate)</x:v>
      </x:c>
    </x:row>
    <x:row r="48">
      <x:c r="A48" s="13" t="str">
        <x:v>Travel allowance</x:v>
      </x:c>
      <x:c r="B48" s="13" t="str">
        <x:v>EUR/year</x:v>
      </x:c>
      <x:c r="C48" s="36" t="n">
        <x:f>IFERROR(C23*C5*C24,0)</x:f>
        <x:v>8783.396608000001</x:v>
      </x:c>
      <x:c r="D48" s="36" t="n">
        <x:f>IFERROR(D23*D5*D24,0)</x:f>
        <x:v>3848.86173</x:v>
      </x:c>
      <x:c r="E48" s="13" t="str">
        <x:v>Allowance/day × working days × drivers</x:v>
      </x:c>
    </x:row>
    <x:row r="49">
      <x:c r="A49" s="13" t="str">
        <x:v>Total driver cost</x:v>
      </x:c>
      <x:c r="B49" s="13" t="str">
        <x:v>EUR/year</x:v>
      </x:c>
      <x:c r="C49" s="36" t="n">
        <x:f>SUM(C47:C48)</x:f>
        <x:v>53043.360235264</x:v>
      </x:c>
      <x:c r="D49" s="36" t="n">
        <x:f>SUM(D47:D48)</x:f>
        <x:v>45630.9503958</x:v>
      </x:c>
      <x:c r="E49" s="13" t="str">
        <x:v>Salary incl. taxes + allowance</x:v>
      </x:c>
    </x:row>
    <x:row r="50">
      <x:c r="A50" s="13" t="str">
        <x:v>Driver cost per activity hour</x:v>
      </x:c>
      <x:c r="B50" s="13" t="str">
        <x:v>EUR/hour</x:v>
      </x:c>
      <x:c r="C50" s="46" t="n">
        <x:f>IFERROR(C49/C35,0)</x:f>
        <x:v>20.860985188391115</x:v>
      </x:c>
      <x:c r="D50" s="46" t="n">
        <x:f>IFERROR(D49/D35,0)</x:f>
        <x:v>19.347445578036886</x:v>
      </x:c>
      <x:c r="E50" s="13" t="str">
        <x:v>Total driver cost / activity hours</x:v>
      </x:c>
    </x:row>
    <x:row r="51">
      <x:c r="A51" s="13" t="str">
        <x:v>Driver cost per loaded km</x:v>
      </x:c>
      <x:c r="B51" s="13" t="str">
        <x:v>EUR/loaded km</x:v>
      </x:c>
      <x:c r="C51" s="46" t="n">
        <x:f>IFERROR(C49/C31,0)</x:f>
        <x:v>0.5498185551516207</x:v>
      </x:c>
      <x:c r="D51" s="46" t="n">
        <x:f>IFERROR(D49/D31,0)</x:f>
        <x:v>0.578412351322094</x:v>
      </x:c>
      <x:c r="E51" s="13" t="str">
        <x:v>Total driver cost / loaded km</x:v>
      </x:c>
    </x:row>
    <x:row r="52">
      <x:c r="A52" s="13" t="str"/>
      <x:c r="B52" s="13" t="str"/>
      <x:c r="C52" s="36" t="str"/>
      <x:c r="D52" s="36" t="str"/>
      <x:c r="E52" s="13" t="str"/>
    </x:row>
    <x:row r="53">
      <x:c r="A53" s="14" t="str">
        <x:v>Fixed cost block</x:v>
      </x:c>
      <x:c r="B53" s="14" t="str"/>
      <x:c r="C53" s="37" t="str"/>
      <x:c r="D53" s="37" t="str"/>
      <x:c r="E53" s="14" t="str"/>
    </x:row>
    <x:row r="54">
      <x:c r="A54" s="13" t="str">
        <x:v>Vehicle fixed cost</x:v>
      </x:c>
      <x:c r="B54" s="13" t="str">
        <x:v>EUR/year</x:v>
      </x:c>
      <x:c r="C54" s="36" t="n">
        <x:f>SUM(C16:C20)</x:f>
        <x:v>17237</x:v>
      </x:c>
      <x:c r="D54" s="36" t="n">
        <x:f>SUM(D16:D20)</x:f>
        <x:v>18071</x:v>
      </x:c>
      <x:c r="E54" s="13" t="str">
        <x:v>Tractor + trailer + insurance + taxes</x:v>
      </x:c>
    </x:row>
    <x:row r="55">
      <x:c r="A55" s="13" t="str">
        <x:v>Structural/admin fixed cost</x:v>
      </x:c>
      <x:c r="B55" s="13" t="str">
        <x:v>EUR/year</x:v>
      </x:c>
      <x:c r="C55" s="36" t="n">
        <x:f>SUM(C25:C26)</x:f>
        <x:v>17886</x:v>
      </x:c>
      <x:c r="D55" s="36" t="n">
        <x:f>SUM(D25:D26)</x:f>
        <x:v>17820</x:v>
      </x:c>
      <x:c r="E55" s="13" t="str">
        <x:v>Structural overhead + commercial/admin overhead</x:v>
      </x:c>
    </x:row>
    <x:row r="56">
      <x:c r="A56" s="13" t="str">
        <x:v>Fixed cost before driver</x:v>
      </x:c>
      <x:c r="B56" s="13" t="str">
        <x:v>EUR/year</x:v>
      </x:c>
      <x:c r="C56" s="36" t="n">
        <x:f>SUM(C54:C55)</x:f>
        <x:v>35123</x:v>
      </x:c>
      <x:c r="D56" s="36" t="n">
        <x:f>SUM(D54:D55)</x:f>
        <x:v>35891</x:v>
      </x:c>
      <x:c r="E56" s="13" t="str">
        <x:v>Vehicle fixed + structural/admin fixed</x:v>
      </x:c>
    </x:row>
    <x:row r="57">
      <x:c r="A57" s="13" t="str">
        <x:v>Fixed cost including driver</x:v>
      </x:c>
      <x:c r="B57" s="13" t="str">
        <x:v>EUR/year</x:v>
      </x:c>
      <x:c r="C57" s="36" t="n">
        <x:f>SUM(C49,C56)</x:f>
        <x:v>88166.360235264</x:v>
      </x:c>
      <x:c r="D57" s="36" t="n">
        <x:f>SUM(D49,D56)</x:f>
        <x:v>81521.9503958</x:v>
      </x:c>
      <x:c r="E57" s="13" t="str">
        <x:v>Fixed before driver + driver cost</x:v>
      </x:c>
    </x:row>
    <x:row r="58">
      <x:c r="A58" s="13" t="str"/>
      <x:c r="B58" s="13" t="str"/>
      <x:c r="C58" s="36" t="str"/>
      <x:c r="D58" s="36" t="str"/>
      <x:c r="E58" s="13" t="str"/>
    </x:row>
    <x:row r="59">
      <x:c r="A59" s="14" t="str">
        <x:v>Break-even outputs</x:v>
      </x:c>
      <x:c r="B59" s="14" t="str"/>
      <x:c r="C59" s="37" t="str"/>
      <x:c r="D59" s="37" t="str"/>
      <x:c r="E59" s="14" t="str"/>
    </x:row>
    <x:row r="60">
      <x:c r="A60" s="34" t="str">
        <x:v>Total annual cost</x:v>
      </x:c>
      <x:c r="B60" s="34" t="str">
        <x:v>EUR/year</x:v>
      </x:c>
      <x:c r="C60" s="38" t="n">
        <x:f>SUM(C44,C57)</x:f>
        <x:v>156526.105835189</x:v>
      </x:c>
      <x:c r="D60" s="38" t="n">
        <x:f>SUM(D44,D57)</x:f>
        <x:v>139625.1880743</x:v>
      </x:c>
      <x:c r="E60" s="34" t="str">
        <x:v>Variable cost + fixed cost including driver</x:v>
      </x:c>
    </x:row>
    <x:row r="61">
      <x:c r="A61" s="34" t="str">
        <x:v>Cost per total km</x:v>
      </x:c>
      <x:c r="B61" s="34" t="str">
        <x:v>EUR/total km</x:v>
      </x:c>
      <x:c r="C61" s="48" t="n">
        <x:f>IFERROR(C60/C3,0)</x:f>
        <x:v>1.3839620321413704</x:v>
      </x:c>
      <x:c r="D61" s="48" t="n">
        <x:f>IFERROR(D60/D3,0)</x:f>
        <x:v>1.424746817084694</x:v>
      </x:c>
      <x:c r="E61" s="34" t="str">
        <x:v>Total annual cost / annual total km</x:v>
      </x:c>
    </x:row>
    <x:row r="62">
      <x:c r="A62" s="34" t="str">
        <x:v>Break-even price</x:v>
      </x:c>
      <x:c r="B62" s="34" t="str">
        <x:v>EUR/loaded km</x:v>
      </x:c>
      <x:c r="C62" s="48" t="n">
        <x:f>IFERROR(C60/C31,0)</x:f>
        <x:v>1.6224642815256394</x:v>
      </x:c>
      <x:c r="D62" s="48" t="n">
        <x:f>IFERROR(D60/D31,0)</x:f>
        <x:v>1.7698718224654584</x:v>
      </x:c>
      <x:c r="E62" s="34" t="str">
        <x:v>Total annual cost / loaded km</x:v>
      </x:c>
    </x:row>
    <x:row r="63">
      <x:c r="A63" s="34" t="str">
        <x:v>Required price for target EBIT margin</x:v>
      </x:c>
      <x:c r="B63" s="34" t="str">
        <x:v>EUR/loaded km</x:v>
      </x:c>
      <x:c r="C63" s="48" t="n">
        <x:f>IFERROR(C62/(1-C27),0)</x:f>
        <x:v>1.8027380905840438</x:v>
      </x:c>
      <x:c r="D63" s="48" t="n">
        <x:f>IFERROR(D62/(1-D27),0)</x:f>
        <x:v>1.9665242471838427</x:v>
      </x:c>
      <x:c r="E63" s="34" t="str">
        <x:v>Break-even price / (1 - target margin)</x:v>
      </x:c>
    </x:row>
    <x:row r="64">
      <x:c r="A64" s="34" t="str">
        <x:v>Annual revenue at customer rate</x:v>
      </x:c>
      <x:c r="B64" s="34" t="str">
        <x:v>EUR/year</x:v>
      </x:c>
      <x:c r="C64" s="38" t="n">
        <x:f>IFERROR(C28*C31,0)</x:f>
        <x:v>178477.45500000002</x:v>
      </x:c>
      <x:c r="D64" s="38" t="n">
        <x:f>IFERROR(D28*D31,0)</x:f>
        <x:v>157780</x:v>
      </x:c>
      <x:c r="E64" s="34" t="str">
        <x:v>Customer rate × loaded km</x:v>
      </x:c>
    </x:row>
    <x:row r="65">
      <x:c r="A65" s="34" t="str">
        <x:v>EBIT at customer rate</x:v>
      </x:c>
      <x:c r="B65" s="34" t="str">
        <x:v>EUR/year</x:v>
      </x:c>
      <x:c r="C65" s="38" t="n">
        <x:f>C64-C60</x:f>
        <x:v>21951.34916481102</x:v>
      </x:c>
      <x:c r="D65" s="38" t="n">
        <x:f>D64-D60</x:f>
        <x:v>18154.811925699993</x:v>
      </x:c>
      <x:c r="E65" s="34" t="str">
        <x:v>Revenue - total annual cost</x:v>
      </x:c>
    </x:row>
    <x:row r="66">
      <x:c r="A66" s="34" t="str">
        <x:v>EBIT margin at customer rate</x:v>
      </x:c>
      <x:c r="B66" s="34" t="str">
        <x:v>% revenue</x:v>
      </x:c>
      <x:c r="C66" s="44" t="n">
        <x:f>IFERROR(C65/C64,0)</x:f>
        <x:v>0.12299228025641121</x:v>
      </x:c>
      <x:c r="D66" s="44" t="n">
        <x:f>IFERROR(D65/D64,0)</x:f>
        <x:v>0.11506408876727084</x:v>
      </x:c>
      <x:c r="E66" s="34" t="str">
        <x:v>EBIT / revenue</x:v>
      </x:c>
    </x:row>
    <x:row r="67">
      <x:c r="A67" s="34" t="str">
        <x:v>Break-even loaded km at customer rate</x:v>
      </x:c>
      <x:c r="B67" s="34" t="str">
        <x:v>km/year</x:v>
      </x:c>
      <x:c r="C67" s="38" t="n">
        <x:f>IFERROR(IF(C28&lt;=C43,"Rate below variable cost",C57/(C28-C43)),0)</x:f>
        <x:v>77242.68815238483</x:v>
      </x:c>
      <x:c r="D67" s="38" t="n">
        <x:f>IFERROR(IF(D28&lt;=D43,"Rate below variable cost",D57/(D28-D43)),0)</x:f>
        <x:v>64521.22357246204</x:v>
      </x:c>
      <x:c r="E67" s="34" t="str">
        <x:v>Fixed incl. driver / (rate - variable cost per loaded km)</x:v>
      </x:c>
    </x:row>
    <x:row r="68">
      <x:c r="A68" s="34" t="str">
        <x:v>Break-even total km at customer rate</x:v>
      </x:c>
      <x:c r="B68" s="34" t="str">
        <x:v>km/year</x:v>
      </x:c>
      <x:c r="C68" s="38" t="n">
        <x:f>IFERROR(IF(ISNUMBER(C67),C67/C8,""),"")</x:f>
        <x:v>90554.14789259652</x:v>
      </x:c>
      <x:c r="D68" s="38" t="n">
        <x:f>IFERROR(IF(ISNUMBER(D67),D67/D8,""),"")</x:f>
        <x:v>80150.58828877272</x:v>
      </x:c>
      <x:c r="E68" s="34" t="str">
        <x:v>Break-even loaded km / loaded ratio</x:v>
      </x:c>
    </x:row>
    <x:row r="69">
      <x:c r="A69" s="34" t="str">
        <x:v>Break-even utilisation of planned loaded km</x:v>
      </x:c>
      <x:c r="B69" s="34" t="str">
        <x:v>%</x:v>
      </x:c>
      <x:c r="C69" s="44" t="n">
        <x:f>IFERROR(IF(ISNUMBER(C67),C67/C31,""),"")</x:f>
        <x:v>0.8006555958673431</x:v>
      </x:c>
      <x:c r="D69" s="44" t="n">
        <x:f>IFERROR(IF(ISNUMBER(D67),D67/D31,""),"")</x:f>
        <x:v>0.8178631458038033</x:v>
      </x:c>
      <x:c r="E69" s="34" t="str">
        <x:v>Break-even loaded km / loaded km</x:v>
      </x:c>
    </x:row>
    <x:row r="70">
      <x:c r="A70" s="34" t="str">
        <x:v>Required loaded ratio at planned total km</x:v>
      </x:c>
      <x:c r="B70" s="34" t="str">
        <x:v>%</x:v>
      </x:c>
      <x:c r="C70" s="44" t="n">
        <x:f>IFERROR(C60/(C28*C3),0)</x:f>
        <x:v>0.7480875849412814</x:v>
      </x:c>
      <x:c r="D70" s="44" t="n">
        <x:f>IFERROR(D60/(D28*D3),0)</x:f>
        <x:v>0.712373408542347</x:v>
      </x:c>
      <x:c r="E70" s="34" t="str">
        <x:v>Total cost / (rate × total km)</x:v>
      </x:c>
    </x:row>
    <x:row r="71">
      <x:c r="A71" s="34" t="str">
        <x:v>Loaded-km safety margin</x:v>
      </x:c>
      <x:c r="B71" s="34" t="str">
        <x:v>km/year</x:v>
      </x:c>
      <x:c r="C71" s="38" t="n">
        <x:f>IFERROR(IF(ISNUMBER(C67),C31-C67,""),"")</x:f>
        <x:v>19231.611847615175</x:v>
      </x:c>
      <x:c r="D71" s="38" t="n">
        <x:f>IFERROR(IF(ISNUMBER(D67),D31-D67,""),"")</x:f>
        <x:v>14368.77642753796</x:v>
      </x:c>
      <x:c r="E71" s="34" t="str">
        <x:v>Loaded km - break-even loaded km</x:v>
      </x:c>
    </x:row>
    <x:row r="72">
      <x:c r="A72" s="34" t="str">
        <x:v>Safety margin</x:v>
      </x:c>
      <x:c r="B72" s="34" t="str">
        <x:v>%</x:v>
      </x:c>
      <x:c r="C72" s="44" t="n">
        <x:f>IFERROR(IF(ISNUMBER(C71),C71/C31,""),"")</x:f>
        <x:v>0.19934440413265683</x:v>
      </x:c>
      <x:c r="D72" s="44" t="n">
        <x:f>IFERROR(IF(ISNUMBER(D71),D71/D31,""),"")</x:f>
        <x:v>0.1821368541961967</x:v>
      </x:c>
      <x:c r="E72" s="34" t="str">
        <x:v>Safety margin / loaded km</x:v>
      </x:c>
    </x:row>
    <x:row r="73">
      <x:c r="A73" s="34" t="str">
        <x:v>Rate variance vs break-even</x:v>
      </x:c>
      <x:c r="B73" s="34" t="str">
        <x:v>EUR/loaded km</x:v>
      </x:c>
      <x:c r="C73" s="48" t="n">
        <x:f>IFERROR(C28-C62,0)</x:f>
        <x:v>0.22753571847436072</x:v>
      </x:c>
      <x:c r="D73" s="48" t="n">
        <x:f>IFERROR(D28-D62,0)</x:f>
        <x:v>0.23012817753454162</x:v>
      </x:c>
      <x:c r="E73" s="34" t="str">
        <x:v>Customer rate - break-even price</x:v>
      </x:c>
    </x:row>
    <x:row r="74">
      <x:c r="A74" s="34" t="str">
        <x:v>Profit contribution</x:v>
      </x:c>
      <x:c r="B74" s="34" t="str">
        <x:v>EUR/loaded km</x:v>
      </x:c>
      <x:c r="C74" s="48" t="n">
        <x:f>IFERROR(C28-C62,0)</x:f>
        <x:v>0.22753571847436072</x:v>
      </x:c>
      <x:c r="D74" s="48" t="n">
        <x:f>IFERROR(D28-D62,0)</x:f>
        <x:v>0.23012817753454162</x:v>
      </x:c>
      <x:c r="E74" s="34" t="str">
        <x:v>Customer rate - break-even price</x:v>
      </x:c>
    </x:row>
    <x:row r="75">
      <x:c r="A75" s="13"/>
      <x:c r="B75" s="13"/>
      <x:c r="C75" s="13"/>
      <x:c r="D75" s="13"/>
      <x:c r="E75" s="13"/>
    </x:row>
  </x:sheetData>
  <x:pageMargins left="0.7" right="0.7" top="0.75" bottom="0.75" header="0.3" footer="0.3"/>
  <x:tableParts count="1">
    <x:tablePart xmlns:r="http://schemas.openxmlformats.org/officeDocument/2006/relationships" r:id="R7f16e6b96a4342a3"/>
  </x:tableParts>
</x:worksheet>
</file>

<file path=xl/worksheets/sheet4.xml><?xml version="1.0" encoding="utf-8"?>
<x:worksheet xmlns:x="http://schemas.openxmlformats.org/spreadsheetml/2006/main">
  <x:sheetFormatPr defaultRowHeight="15"/>
  <x:cols>
    <x:col min="10" max="10" width="15.479999542236328" hidden="0" customWidth="1"/>
    <x:col min="11" max="11" width="10.359999656677246" hidden="0" customWidth="1"/>
    <x:col min="1" max="1" width="30.81999969482422" hidden="0" customWidth="1"/>
    <x:col min="2" max="2" width="15.210000038146973" hidden="0" customWidth="1"/>
    <x:col min="3" max="3" width="11.039999961853027" hidden="0" customWidth="1"/>
    <x:col min="4" max="4" width="6.059999942779541" hidden="0" customWidth="1"/>
    <x:col min="5" max="5" width="6.059999942779541" hidden="0" customWidth="1"/>
    <x:col min="6" max="6" width="6.059999942779541" hidden="0" customWidth="1"/>
    <x:col min="7" max="7" width="5.380000114440918" hidden="0" customWidth="1"/>
    <x:col min="8" max="8" width="6.460000038146973" hidden="0" customWidth="1"/>
  </x:cols>
  <x:sheetData>
    <x:row r="1">
      <x:c r="A1" s="4" t="str">
        <x:v>Break-even sensitivity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Selected profile</x:v>
      </x:c>
      <x:c r="B2" t="str">
        <x:v>Long Distance 40t</x:v>
      </x:c>
      <x:c r="C2" t="str"/>
      <x:c r="D2" t="str"/>
      <x:c r="E2" t="str"/>
      <x:c r="F2" t="str"/>
      <x:c r="G2" t="str"/>
      <x:c r="H2" t="str"/>
      <x:c r="I2" t="str"/>
      <x:c r="J2" s="58" t="str">
        <x:v>Selected column</x:v>
      </x:c>
      <x:c r="K2" s="58" t="n">
        <x:f>MATCH($B$2,Engine!$C$1:$D$1,0)</x:f>
        <x:v>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s="58" t="str">
        <x:v>Annual total km</x:v>
      </x:c>
      <x:c r="K3" s="58" t="n">
        <x:f>INDEX(Engine!$C$3:$D$3,1,$K$2)</x:f>
        <x:v>113100</x:v>
      </x:c>
    </x:row>
    <x:row r="4">
      <x:c r="A4" s="20" t="str">
        <x:v>Rate/load factor EBIT matrix</x:v>
      </x:c>
      <x:c r="B4" s="20" t="str"/>
      <x:c r="C4" s="20" t="str"/>
      <x:c r="D4" s="20" t="str"/>
      <x:c r="E4" s="20" t="str"/>
      <x:c r="F4" s="20" t="str"/>
      <x:c r="G4" s="20" t="str"/>
      <x:c r="H4" s="20" t="str"/>
      <x:c r="I4" t="str"/>
      <x:c r="J4" s="58" t="str">
        <x:v>Variable €/total km</x:v>
      </x:c>
      <x:c r="K4" s="58" t="n">
        <x:f>INDEX(Engine!$C$42:$D$42,1,$K$2)</x:f>
        <x:v>0.6044186171522989</x:v>
      </x:c>
    </x:row>
    <x:row r="5">
      <x:c r="A5" s="20" t="str">
        <x:v>Load factor \ Rate</x:v>
      </x:c>
      <x:c r="B5" s="52" t="n">
        <x:v>1.2</x:v>
      </x:c>
      <x:c r="C5" s="52" t="n">
        <x:v>1.4</x:v>
      </x:c>
      <x:c r="D5" s="52" t="n">
        <x:v>1.6</x:v>
      </x:c>
      <x:c r="E5" s="52" t="n">
        <x:v>1.8</x:v>
      </x:c>
      <x:c r="F5" s="52" t="n">
        <x:v>2</x:v>
      </x:c>
      <x:c r="G5" s="52" t="n">
        <x:v>2.2</x:v>
      </x:c>
      <x:c r="H5" s="52" t="n">
        <x:v>2.4</x:v>
      </x:c>
      <x:c r="I5" t="str"/>
      <x:c r="J5" s="58" t="str">
        <x:v>Fixed incl driver</x:v>
      </x:c>
      <x:c r="K5" s="58" t="n">
        <x:f>INDEX(Engine!$C$57:$D$57,1,$K$2)</x:f>
        <x:v>88166.360235264</x:v>
      </x:c>
    </x:row>
    <x:row r="6">
      <x:c r="A6" s="50" t="n">
        <x:v>0.65</x:v>
      </x:c>
      <x:c r="B6" s="54" t="n">
        <x:f>B$5*$K$3*$A6-($K$5+$K$4*$K$3)</x:f>
        <x:v>-68308.105835189</x:v>
      </x:c>
      <x:c r="C6" s="54" t="n">
        <x:f>C$5*$K$3*$A6-($K$5+$K$4*$K$3)</x:f>
        <x:v>-53605.105835188995</x:v>
      </x:c>
      <x:c r="D6" s="54" t="n">
        <x:f>D$5*$K$3*$A6-($K$5+$K$4*$K$3)</x:f>
        <x:v>-38902.105835188995</x:v>
      </x:c>
      <x:c r="E6" s="54" t="n">
        <x:f>E$5*$K$3*$A6-($K$5+$K$4*$K$3)</x:f>
        <x:v>-24199.105835188995</x:v>
      </x:c>
      <x:c r="F6" s="54" t="n">
        <x:f>F$5*$K$3*$A6-($K$5+$K$4*$K$3)</x:f>
        <x:v>-9496.105835188995</x:v>
      </x:c>
      <x:c r="G6" s="54" t="n">
        <x:f>G$5*$K$3*$A6-($K$5+$K$4*$K$3)</x:f>
        <x:v>5206.894164811034</x:v>
      </x:c>
      <x:c r="H6" s="54" t="n">
        <x:f>H$5*$K$3*$A6-($K$5+$K$4*$K$3)</x:f>
        <x:v>19909.894164811005</x:v>
      </x:c>
      <x:c r="I6" t="str"/>
      <x:c r="J6" s="58" t="str">
        <x:v>Loaded ratio</x:v>
      </x:c>
      <x:c r="K6" s="58" t="n">
        <x:f>INDEX(Engine!$C$8:$D$8,1,$K$2)</x:f>
        <x:v>0.853</x:v>
      </x:c>
    </x:row>
    <x:row r="7">
      <x:c r="A7" s="50" t="n">
        <x:v>0.7</x:v>
      </x:c>
      <x:c r="B7" s="54" t="n">
        <x:f>B$5*$K$3*$A7-($K$5+$K$4*$K$3)</x:f>
        <x:v>-61522.105835188995</x:v>
      </x:c>
      <x:c r="C7" s="54" t="n">
        <x:f>C$5*$K$3*$A7-($K$5+$K$4*$K$3)</x:f>
        <x:v>-45688.105835188995</x:v>
      </x:c>
      <x:c r="D7" s="54" t="n">
        <x:f>D$5*$K$3*$A7-($K$5+$K$4*$K$3)</x:f>
        <x:v>-29854.10583518901</x:v>
      </x:c>
      <x:c r="E7" s="54" t="n">
        <x:f>E$5*$K$3*$A7-($K$5+$K$4*$K$3)</x:f>
        <x:v>-14020.105835188995</x:v>
      </x:c>
      <x:c r="F7" s="54" t="n">
        <x:f>F$5*$K$3*$A7-($K$5+$K$4*$K$3)</x:f>
        <x:v>1813.8941648110049</x:v>
      </x:c>
      <x:c r="G7" s="54" t="n">
        <x:f>G$5*$K$3*$A7-($K$5+$K$4*$K$3)</x:f>
        <x:v>17647.894164811005</x:v>
      </x:c>
      <x:c r="H7" s="54" t="n">
        <x:f>H$5*$K$3*$A7-($K$5+$K$4*$K$3)</x:f>
        <x:v>33481.894164811005</x:v>
      </x:c>
      <x:c r="I7" t="str"/>
      <x:c r="J7" s="58" t="str">
        <x:v>Current BE price</x:v>
      </x:c>
      <x:c r="K7" s="58" t="n">
        <x:f>INDEX(Engine!$C$62:$D$62,1,$K$2)</x:f>
        <x:v>1.6224642815256394</x:v>
      </x:c>
    </x:row>
    <x:row r="8">
      <x:c r="A8" s="50" t="n">
        <x:v>0.75</x:v>
      </x:c>
      <x:c r="B8" s="54" t="n">
        <x:f>B$5*$K$3*$A8-($K$5+$K$4*$K$3)</x:f>
        <x:v>-54736.105835188995</x:v>
      </x:c>
      <x:c r="C8" s="54" t="n">
        <x:f>C$5*$K$3*$A8-($K$5+$K$4*$K$3)</x:f>
        <x:v>-37771.105835188995</x:v>
      </x:c>
      <x:c r="D8" s="54" t="n">
        <x:f>D$5*$K$3*$A8-($K$5+$K$4*$K$3)</x:f>
        <x:v>-20806.105835188995</x:v>
      </x:c>
      <x:c r="E8" s="54" t="n">
        <x:f>E$5*$K$3*$A8-($K$5+$K$4*$K$3)</x:f>
        <x:v>-3841.105835188995</x:v>
      </x:c>
      <x:c r="F8" s="54" t="n">
        <x:f>F$5*$K$3*$A8-($K$5+$K$4*$K$3)</x:f>
        <x:v>13123.894164811005</x:v>
      </x:c>
      <x:c r="G8" s="54" t="n">
        <x:f>G$5*$K$3*$A8-($K$5+$K$4*$K$3)</x:f>
        <x:v>30088.894164811034</x:v>
      </x:c>
      <x:c r="H8" s="54" t="n">
        <x:f>H$5*$K$3*$A8-($K$5+$K$4*$K$3)</x:f>
        <x:v>47053.894164811005</x:v>
      </x:c>
      <x:c r="I8" t="str"/>
      <x:c r="J8" s="58" t="str">
        <x:v>Target margin price</x:v>
      </x:c>
      <x:c r="K8" s="58" t="n">
        <x:f>INDEX(Engine!$C$63:$D$63,1,$K$2)</x:f>
        <x:v>1.8027380905840438</x:v>
      </x:c>
    </x:row>
    <x:row r="9">
      <x:c r="A9" s="50" t="n">
        <x:v>0.8</x:v>
      </x:c>
      <x:c r="B9" s="54" t="n">
        <x:f>B$5*$K$3*$A9-($K$5+$K$4*$K$3)</x:f>
        <x:v>-47950.105835188995</x:v>
      </x:c>
      <x:c r="C9" s="54" t="n">
        <x:f>C$5*$K$3*$A9-($K$5+$K$4*$K$3)</x:f>
        <x:v>-29854.105835188995</x:v>
      </x:c>
      <x:c r="D9" s="54" t="n">
        <x:f>D$5*$K$3*$A9-($K$5+$K$4*$K$3)</x:f>
        <x:v>-11758.105835188995</x:v>
      </x:c>
      <x:c r="E9" s="54" t="n">
        <x:f>E$5*$K$3*$A9-($K$5+$K$4*$K$3)</x:f>
        <x:v>6337.894164811005</x:v>
      </x:c>
      <x:c r="F9" s="54" t="n">
        <x:f>F$5*$K$3*$A9-($K$5+$K$4*$K$3)</x:f>
        <x:v>24433.894164811005</x:v>
      </x:c>
      <x:c r="G9" s="54" t="n">
        <x:f>G$5*$K$3*$A9-($K$5+$K$4*$K$3)</x:f>
        <x:v>42529.894164811034</x:v>
      </x:c>
      <x:c r="H9" s="54" t="n">
        <x:f>H$5*$K$3*$A9-($K$5+$K$4*$K$3)</x:f>
        <x:v>60625.894164811005</x:v>
      </x:c>
      <x:c r="I9" t="str"/>
      <x:c r="J9" s="58" t="str">
        <x:v>Customer rate</x:v>
      </x:c>
      <x:c r="K9" s="58" t="n">
        <x:f>INDEX(Engine!$C$28:$D$28,1,$K$2)</x:f>
        <x:v>1.85</x:v>
      </x:c>
    </x:row>
    <x:row r="10">
      <x:c r="A10" s="50" t="n">
        <x:v>0.85</x:v>
      </x:c>
      <x:c r="B10" s="54" t="n">
        <x:f>B$5*$K$3*$A10-($K$5+$K$4*$K$3)</x:f>
        <x:v>-41164.105835188995</x:v>
      </x:c>
      <x:c r="C10" s="54" t="n">
        <x:f>C$5*$K$3*$A10-($K$5+$K$4*$K$3)</x:f>
        <x:v>-21937.105835188995</x:v>
      </x:c>
      <x:c r="D10" s="54" t="n">
        <x:f>D$5*$K$3*$A10-($K$5+$K$4*$K$3)</x:f>
        <x:v>-2710.105835188995</x:v>
      </x:c>
      <x:c r="E10" s="54" t="n">
        <x:f>E$5*$K$3*$A10-($K$5+$K$4*$K$3)</x:f>
        <x:v>16516.894164811005</x:v>
      </x:c>
      <x:c r="F10" s="54" t="n">
        <x:f>F$5*$K$3*$A10-($K$5+$K$4*$K$3)</x:f>
        <x:v>35743.894164811005</x:v>
      </x:c>
      <x:c r="G10" s="54" t="n">
        <x:f>G$5*$K$3*$A10-($K$5+$K$4*$K$3)</x:f>
        <x:v>54970.894164811034</x:v>
      </x:c>
      <x:c r="H10" s="54" t="n">
        <x:f>H$5*$K$3*$A10-($K$5+$K$4*$K$3)</x:f>
        <x:v>74197.894164811</x:v>
      </x:c>
      <x:c r="I10" t="str"/>
      <x:c r="J10" s="58" t="str">
        <x:v>EBIT at current rate</x:v>
      </x:c>
      <x:c r="K10" s="58" t="n">
        <x:f>INDEX(Engine!$C$65:$D$65,1,$K$2)</x:f>
        <x:v>21951.34916481102</x:v>
      </x:c>
    </x:row>
    <x:row r="11">
      <x:c r="A11" s="50" t="n">
        <x:v>0.9</x:v>
      </x:c>
      <x:c r="B11" s="54" t="n">
        <x:f>B$5*$K$3*$A11-($K$5+$K$4*$K$3)</x:f>
        <x:v>-34378.105835188995</x:v>
      </x:c>
      <x:c r="C11" s="54" t="n">
        <x:f>C$5*$K$3*$A11-($K$5+$K$4*$K$3)</x:f>
        <x:v>-14020.105835188995</x:v>
      </x:c>
      <x:c r="D11" s="54" t="n">
        <x:f>D$5*$K$3*$A11-($K$5+$K$4*$K$3)</x:f>
        <x:v>6337.894164811005</x:v>
      </x:c>
      <x:c r="E11" s="54" t="n">
        <x:f>E$5*$K$3*$A11-($K$5+$K$4*$K$3)</x:f>
        <x:v>26695.894164811005</x:v>
      </x:c>
      <x:c r="F11" s="54" t="n">
        <x:f>F$5*$K$3*$A11-($K$5+$K$4*$K$3)</x:f>
        <x:v>47053.894164811005</x:v>
      </x:c>
      <x:c r="G11" s="54" t="n">
        <x:f>G$5*$K$3*$A11-($K$5+$K$4*$K$3)</x:f>
        <x:v>67411.89416481103</x:v>
      </x:c>
      <x:c r="H11" s="54" t="n">
        <x:f>H$5*$K$3*$A11-($K$5+$K$4*$K$3)</x:f>
        <x:v>87769.894164811</x:v>
      </x:c>
      <x:c r="I11" t="str"/>
      <x:c r="J11" t="str"/>
    </x:row>
    <x:row r="12">
      <x:c r="A12" s="50" t="n">
        <x:v>0.95</x:v>
      </x:c>
      <x:c r="B12" s="54" t="n">
        <x:f>B$5*$K$3*$A12-($K$5+$K$4*$K$3)</x:f>
        <x:v>-27592.105835188995</x:v>
      </x:c>
      <x:c r="C12" s="54" t="n">
        <x:f>C$5*$K$3*$A12-($K$5+$K$4*$K$3)</x:f>
        <x:v>-6103.105835188995</x:v>
      </x:c>
      <x:c r="D12" s="54" t="n">
        <x:f>D$5*$K$3*$A12-($K$5+$K$4*$K$3)</x:f>
        <x:v>15385.894164811005</x:v>
      </x:c>
      <x:c r="E12" s="54" t="n">
        <x:f>E$5*$K$3*$A12-($K$5+$K$4*$K$3)</x:f>
        <x:v>36874.894164811005</x:v>
      </x:c>
      <x:c r="F12" s="54" t="n">
        <x:f>F$5*$K$3*$A12-($K$5+$K$4*$K$3)</x:f>
        <x:v>58363.894164811005</x:v>
      </x:c>
      <x:c r="G12" s="54" t="n">
        <x:f>G$5*$K$3*$A12-($K$5+$K$4*$K$3)</x:f>
        <x:v>79852.89416481103</x:v>
      </x:c>
      <x:c r="H12" s="54" t="n">
        <x:f>H$5*$K$3*$A12-($K$5+$K$4*$K$3)</x:f>
        <x:v>101341.894164811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s="20" t="str">
        <x:v>Scenario curve at current loaded ratio</x:v>
      </x:c>
      <x:c r="B14" s="20" t="str"/>
      <x:c r="C14" s="20" t="str"/>
      <x:c r="D14" t="str"/>
      <x:c r="E14" t="str"/>
      <x:c r="F14" t="str"/>
      <x:c r="G14" t="str"/>
      <x:c r="H14" t="str"/>
      <x:c r="I14" t="str"/>
      <x:c r="J14" t="str"/>
    </x:row>
    <x:row r="15">
      <x:c r="A15" s="20" t="str">
        <x:v>Rate</x:v>
      </x:c>
      <x:c r="B15" s="20" t="str">
        <x:v>Long Distance EBIT</x:v>
      </x:c>
      <x:c r="C15" s="20" t="str">
        <x:v>Regional EBIT</x:v>
      </x:c>
      <x:c r="D15" t="str"/>
      <x:c r="E15" t="str"/>
      <x:c r="F15" t="str"/>
      <x:c r="G15" t="str"/>
      <x:c r="H15" t="str"/>
      <x:c r="I15" t="str"/>
      <x:c r="J15" t="str"/>
    </x:row>
    <x:row r="16">
      <x:c r="A16" s="56" t="n">
        <x:v>1.2</x:v>
      </x:c>
      <x:c r="B16" s="54" t="n">
        <x:f>$A16*Engine!$C$3*Engine!$C$8-(Engine!$C$57+Engine!$C$42*Engine!$C$3)</x:f>
        <x:v>-40756.94583518899</x:v>
      </x:c>
      <x:c r="C16" s="54" t="n">
        <x:f>$A16*Engine!$D$3*Engine!$D$8-(Engine!$D$57+Engine!$D$42*Engine!$D$3)</x:f>
        <x:v>-44957.18807430001</x:v>
      </x:c>
      <x:c r="D16" t="str"/>
      <x:c r="E16" t="str"/>
      <x:c r="F16" t="str"/>
      <x:c r="G16" t="str"/>
      <x:c r="H16" t="str"/>
      <x:c r="I16" t="str"/>
      <x:c r="J16" t="str"/>
    </x:row>
    <x:row r="17">
      <x:c r="A17" s="56" t="n">
        <x:v>1.3</x:v>
      </x:c>
      <x:c r="B17" s="54" t="n">
        <x:f>$A17*Engine!$C$3*Engine!$C$8-(Engine!$C$57+Engine!$C$42*Engine!$C$3)</x:f>
        <x:v>-31109.515835189</x:v>
      </x:c>
      <x:c r="C17" s="54" t="n">
        <x:f>$A17*Engine!$D$3*Engine!$D$8-(Engine!$D$57+Engine!$D$42*Engine!$D$3)</x:f>
        <x:v>-37068.18807430001</x:v>
      </x:c>
      <x:c r="D17" t="str"/>
      <x:c r="E17" t="str"/>
      <x:c r="F17" t="str"/>
      <x:c r="G17" t="str"/>
      <x:c r="H17" t="str"/>
      <x:c r="I17" t="str"/>
      <x:c r="J17" t="str"/>
    </x:row>
    <x:row r="18">
      <x:c r="A18" s="56" t="n">
        <x:v>1.4</x:v>
      </x:c>
      <x:c r="B18" s="54" t="n">
        <x:f>$A18*Engine!$C$3*Engine!$C$8-(Engine!$C$57+Engine!$C$42*Engine!$C$3)</x:f>
        <x:v>-21462.085835189006</x:v>
      </x:c>
      <x:c r="C18" s="54" t="n">
        <x:f>$A18*Engine!$D$3*Engine!$D$8-(Engine!$D$57+Engine!$D$42*Engine!$D$3)</x:f>
        <x:v>-29179.188074300007</x:v>
      </x:c>
      <x:c r="D18" t="str"/>
      <x:c r="E18" t="str"/>
      <x:c r="F18" t="str"/>
      <x:c r="G18" t="str"/>
      <x:c r="H18" t="str"/>
      <x:c r="I18" t="str"/>
      <x:c r="J18" t="str"/>
    </x:row>
    <x:row r="19">
      <x:c r="A19" s="56" t="n">
        <x:v>1.5</x:v>
      </x:c>
      <x:c r="B19" s="54" t="n">
        <x:f>$A19*Engine!$C$3*Engine!$C$8-(Engine!$C$57+Engine!$C$42*Engine!$C$3)</x:f>
        <x:v>-11814.655835189013</x:v>
      </x:c>
      <x:c r="C19" s="54" t="n">
        <x:f>$A19*Engine!$D$3*Engine!$D$8-(Engine!$D$57+Engine!$D$42*Engine!$D$3)</x:f>
        <x:v>-21290.188074300007</x:v>
      </x:c>
      <x:c r="D19" t="str"/>
      <x:c r="E19" t="str"/>
      <x:c r="F19" t="str"/>
      <x:c r="G19" t="str"/>
      <x:c r="H19" t="str"/>
      <x:c r="I19" t="str"/>
      <x:c r="J19" t="str"/>
    </x:row>
    <x:row r="20">
      <x:c r="A20" s="56" t="n">
        <x:v>1.6</x:v>
      </x:c>
      <x:c r="B20" s="54" t="n">
        <x:f>$A20*Engine!$C$3*Engine!$C$8-(Engine!$C$57+Engine!$C$42*Engine!$C$3)</x:f>
        <x:v>-2167.2258351889905</x:v>
      </x:c>
      <x:c r="C20" s="54" t="n">
        <x:f>$A20*Engine!$D$3*Engine!$D$8-(Engine!$D$57+Engine!$D$42*Engine!$D$3)</x:f>
        <x:v>-13401.188074299993</x:v>
      </x:c>
      <x:c r="D20" t="str"/>
      <x:c r="E20" t="str"/>
      <x:c r="F20" t="str"/>
      <x:c r="G20" t="str"/>
      <x:c r="H20" t="str"/>
      <x:c r="I20" t="str"/>
      <x:c r="J20" t="str"/>
    </x:row>
    <x:row r="21">
      <x:c r="A21" s="56" t="n">
        <x:v>1.7</x:v>
      </x:c>
      <x:c r="B21" s="54" t="n">
        <x:f>$A21*Engine!$C$3*Engine!$C$8-(Engine!$C$57+Engine!$C$42*Engine!$C$3)</x:f>
        <x:v>7480.204164811003</x:v>
      </x:c>
      <x:c r="C21" s="54" t="n">
        <x:f>$A21*Engine!$D$3*Engine!$D$8-(Engine!$D$57+Engine!$D$42*Engine!$D$3)</x:f>
        <x:v>-5512.188074300007</x:v>
      </x:c>
      <x:c r="D21" t="str"/>
      <x:c r="E21" t="str"/>
      <x:c r="F21" t="str"/>
      <x:c r="G21" t="str"/>
      <x:c r="H21" t="str"/>
      <x:c r="I21" t="str"/>
      <x:c r="J21" t="str"/>
    </x:row>
    <x:row r="22">
      <x:c r="A22" s="56" t="n">
        <x:v>1.8</x:v>
      </x:c>
      <x:c r="B22" s="54" t="n">
        <x:f>$A22*Engine!$C$3*Engine!$C$8-(Engine!$C$57+Engine!$C$42*Engine!$C$3)</x:f>
        <x:v>17127.634164810996</x:v>
      </x:c>
      <x:c r="C22" s="54" t="n">
        <x:f>$A22*Engine!$D$3*Engine!$D$8-(Engine!$D$57+Engine!$D$42*Engine!$D$3)</x:f>
        <x:v>2376.8119256999926</x:v>
      </x:c>
      <x:c r="D22" t="str"/>
      <x:c r="E22" t="str"/>
      <x:c r="F22" t="str"/>
      <x:c r="G22" t="str"/>
      <x:c r="H22" t="str"/>
      <x:c r="I22" t="str"/>
      <x:c r="J22" t="str"/>
    </x:row>
    <x:row r="23">
      <x:c r="A23" s="56" t="n">
        <x:v>1.9</x:v>
      </x:c>
      <x:c r="B23" s="54" t="n">
        <x:f>$A23*Engine!$C$3*Engine!$C$8-(Engine!$C$57+Engine!$C$42*Engine!$C$3)</x:f>
        <x:v>26775.06416481099</x:v>
      </x:c>
      <x:c r="C23" s="54" t="n">
        <x:f>$A23*Engine!$D$3*Engine!$D$8-(Engine!$D$57+Engine!$D$42*Engine!$D$3)</x:f>
        <x:v>10265.811925699993</x:v>
      </x:c>
      <x:c r="D23" t="str"/>
      <x:c r="E23" t="str"/>
      <x:c r="F23" t="str"/>
      <x:c r="G23" t="str"/>
      <x:c r="H23" t="str"/>
      <x:c r="I23" t="str"/>
      <x:c r="J23" t="str"/>
    </x:row>
    <x:row r="24">
      <x:c r="A24" s="56" t="n">
        <x:v>2</x:v>
      </x:c>
      <x:c r="B24" s="54" t="n">
        <x:f>$A24*Engine!$C$3*Engine!$C$8-(Engine!$C$57+Engine!$C$42*Engine!$C$3)</x:f>
        <x:v>36422.49416481101</x:v>
      </x:c>
      <x:c r="C24" s="54" t="n">
        <x:f>$A24*Engine!$D$3*Engine!$D$8-(Engine!$D$57+Engine!$D$42*Engine!$D$3)</x:f>
        <x:v>18154.811925699993</x:v>
      </x:c>
      <x:c r="D24" t="str"/>
      <x:c r="E24" t="str"/>
      <x:c r="F24" t="str"/>
      <x:c r="G24" t="str"/>
      <x:c r="H24" t="str"/>
      <x:c r="I24" t="str"/>
      <x:c r="J24" t="str"/>
    </x:row>
    <x:row r="25">
      <x:c r="A25" s="56" t="n">
        <x:v>2.1</x:v>
      </x:c>
      <x:c r="B25" s="54" t="n">
        <x:f>$A25*Engine!$C$3*Engine!$C$8-(Engine!$C$57+Engine!$C$42*Engine!$C$3)</x:f>
        <x:v>46069.924164811004</x:v>
      </x:c>
      <x:c r="C25" s="54" t="n">
        <x:f>$A25*Engine!$D$3*Engine!$D$8-(Engine!$D$57+Engine!$D$42*Engine!$D$3)</x:f>
        <x:v>26043.811925699993</x:v>
      </x:c>
      <x:c r="D25" t="str"/>
      <x:c r="E25" t="str"/>
      <x:c r="F25" t="str"/>
      <x:c r="G25" t="str"/>
      <x:c r="H25" t="str"/>
      <x:c r="I25" t="str"/>
      <x:c r="J25" t="str"/>
    </x:row>
    <x:row r="26">
      <x:c r="A26" s="56" t="n">
        <x:v>2.2</x:v>
      </x:c>
      <x:c r="B26" s="54" t="n">
        <x:f>$A26*Engine!$C$3*Engine!$C$8-(Engine!$C$57+Engine!$C$42*Engine!$C$3)</x:f>
        <x:v>55717.354164811026</x:v>
      </x:c>
      <x:c r="C26" s="54" t="n">
        <x:f>$A26*Engine!$D$3*Engine!$D$8-(Engine!$D$57+Engine!$D$42*Engine!$D$3)</x:f>
        <x:v>33932.81192570002</x:v>
      </x:c>
      <x:c r="D26" t="str"/>
      <x:c r="E26" t="str"/>
      <x:c r="F26" t="str"/>
      <x:c r="G26" t="str"/>
      <x:c r="H26" t="str"/>
      <x:c r="I26" t="str"/>
      <x:c r="J26" t="str"/>
    </x:row>
    <x:row r="27">
      <x:c r="A27" s="56" t="n">
        <x:v>2.3</x:v>
      </x:c>
      <x:c r="B27" s="54" t="n">
        <x:f>$A27*Engine!$C$3*Engine!$C$8-(Engine!$C$57+Engine!$C$42*Engine!$C$3)</x:f>
        <x:v>65364.78416481096</x:v>
      </x:c>
      <x:c r="C27" s="54" t="n">
        <x:f>$A27*Engine!$D$3*Engine!$D$8-(Engine!$D$57+Engine!$D$42*Engine!$D$3)</x:f>
        <x:v>41821.81192569999</x:v>
      </x:c>
      <x:c r="D27" t="str"/>
      <x:c r="E27" t="str"/>
      <x:c r="F27" t="str"/>
      <x:c r="G27" t="str"/>
      <x:c r="H27" t="str"/>
      <x:c r="I27" t="str"/>
      <x:c r="J27" t="str"/>
    </x:row>
    <x:row r="28">
      <x:c r="A28" s="56" t="n">
        <x:v>2.4</x:v>
      </x:c>
      <x:c r="B28" s="54" t="n">
        <x:f>$A28*Engine!$C$3*Engine!$C$8-(Engine!$C$57+Engine!$C$42*Engine!$C$3)</x:f>
        <x:v>75012.21416481101</x:v>
      </x:c>
      <x:c r="C28" s="54" t="n">
        <x:f>$A28*Engine!$D$3*Engine!$D$8-(Engine!$D$57+Engine!$D$42*Engine!$D$3)</x:f>
        <x:v>49710.81192569999</x:v>
      </x:c>
      <x:c r="D28" t="str"/>
      <x:c r="E28" t="str"/>
      <x:c r="F28" t="str"/>
      <x:c r="G28" t="str"/>
      <x:c r="H28" t="str"/>
      <x:c r="I28" t="str"/>
      <x:c r="J28" t="str"/>
    </x:row>
  </x:sheetData>
  <x:mergeCells>
    <x:mergeCell ref="A1:H1"/>
  </x:mergeCells>
  <x:conditionalFormatting sqref="B6:H1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dataValidations count="1">
    <x:dataValidation type="list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f5e0e3e82e314926"/>
</x:worksheet>
</file>