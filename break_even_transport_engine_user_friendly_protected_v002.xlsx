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ciobanumarius/Downloads/"/>
    </mc:Choice>
  </mc:AlternateContent>
  <xr:revisionPtr revIDLastSave="0" documentId="13_ncr:1_{7EE44519-B78D-124D-AA3A-43BE3CB162C4}" xr6:coauthVersionLast="47" xr6:coauthVersionMax="47" xr10:uidLastSave="{00000000-0000-0000-0000-000000000000}"/>
  <bookViews>
    <workbookView xWindow="0" yWindow="780" windowWidth="34200" windowHeight="20240" xr2:uid="{00000000-000D-0000-FFFF-FFFF00000000}"/>
  </bookViews>
  <sheets>
    <sheet name="Start Here" sheetId="1" r:id="rId1"/>
    <sheet name="Company &amp; Tax Profile" sheetId="2" r:id="rId2"/>
    <sheet name="Inputs" sheetId="3" r:id="rId3"/>
    <sheet name="Engine" sheetId="4" r:id="rId4"/>
    <sheet name="Pricing Scenarios" sheetId="5" r:id="rId5"/>
    <sheet name="Sensitivity" sheetId="6" r:id="rId6"/>
    <sheet name="Vehicle Classes" sheetId="7" r:id="rId7"/>
    <sheet name="Tax Rules" sheetId="8" r:id="rId8"/>
    <sheet name="Dropdown Helper" sheetId="9" r:id="rId9"/>
    <sheet name="Cascade Lists" sheetId="10" r:id="rId10"/>
    <sheet name="Guid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7" l="1"/>
  <c r="L13" i="7" s="1"/>
  <c r="N13" i="7" s="1"/>
  <c r="R13" i="7" s="1"/>
  <c r="I13" i="7"/>
  <c r="F13" i="7"/>
  <c r="K12" i="7"/>
  <c r="L12" i="7" s="1"/>
  <c r="N12" i="7" s="1"/>
  <c r="R12" i="7" s="1"/>
  <c r="I12" i="7"/>
  <c r="F12" i="7"/>
  <c r="K11" i="7"/>
  <c r="L11" i="7" s="1"/>
  <c r="N11" i="7" s="1"/>
  <c r="R11" i="7" s="1"/>
  <c r="I11" i="7"/>
  <c r="F11" i="7"/>
  <c r="L10" i="7"/>
  <c r="N10" i="7" s="1"/>
  <c r="R10" i="7" s="1"/>
  <c r="K10" i="7"/>
  <c r="I10" i="7"/>
  <c r="F10" i="7"/>
  <c r="N9" i="7"/>
  <c r="R9" i="7" s="1"/>
  <c r="L9" i="7"/>
  <c r="K9" i="7"/>
  <c r="I9" i="7"/>
  <c r="F9" i="7"/>
  <c r="K8" i="7"/>
  <c r="L8" i="7" s="1"/>
  <c r="N8" i="7" s="1"/>
  <c r="R8" i="7" s="1"/>
  <c r="I8" i="7"/>
  <c r="F8" i="7"/>
  <c r="K7" i="7"/>
  <c r="L7" i="7" s="1"/>
  <c r="N7" i="7" s="1"/>
  <c r="R7" i="7" s="1"/>
  <c r="I7" i="7"/>
  <c r="F7" i="7"/>
  <c r="C36" i="6" s="1"/>
  <c r="K6" i="7"/>
  <c r="L6" i="7" s="1"/>
  <c r="N6" i="7" s="1"/>
  <c r="R6" i="7" s="1"/>
  <c r="I6" i="7"/>
  <c r="F6" i="7"/>
  <c r="L5" i="7"/>
  <c r="N5" i="7" s="1"/>
  <c r="R5" i="7" s="1"/>
  <c r="K5" i="7"/>
  <c r="I5" i="7"/>
  <c r="F5" i="7"/>
  <c r="D36" i="6"/>
  <c r="B36" i="6"/>
  <c r="A36" i="6"/>
  <c r="K35" i="6"/>
  <c r="J35" i="6"/>
  <c r="I35" i="6"/>
  <c r="D35" i="6"/>
  <c r="C35" i="6"/>
  <c r="E35" i="6" s="1"/>
  <c r="B35" i="6"/>
  <c r="A35" i="6"/>
  <c r="K34" i="6"/>
  <c r="J34" i="6"/>
  <c r="I34" i="6"/>
  <c r="D34" i="6"/>
  <c r="E34" i="6" s="1"/>
  <c r="C34" i="6"/>
  <c r="B34" i="6"/>
  <c r="A34" i="6"/>
  <c r="K2" i="6"/>
  <c r="C24" i="5"/>
  <c r="C25" i="5" s="1"/>
  <c r="K13" i="5"/>
  <c r="K12" i="5"/>
  <c r="K11" i="5"/>
  <c r="K10" i="5"/>
  <c r="K9" i="5"/>
  <c r="K8" i="5"/>
  <c r="K7" i="5"/>
  <c r="K6" i="5"/>
  <c r="K5" i="5"/>
  <c r="K4" i="5"/>
  <c r="D55" i="4"/>
  <c r="D48" i="4"/>
  <c r="C38" i="4"/>
  <c r="D34" i="4"/>
  <c r="D27" i="4"/>
  <c r="D24" i="5" s="1"/>
  <c r="D25" i="5" s="1"/>
  <c r="C27" i="4"/>
  <c r="D26" i="4"/>
  <c r="C26" i="4"/>
  <c r="D25" i="4"/>
  <c r="C25" i="4"/>
  <c r="C55" i="4" s="1"/>
  <c r="D24" i="4"/>
  <c r="C24" i="4"/>
  <c r="D23" i="4"/>
  <c r="C23" i="4"/>
  <c r="C48" i="4" s="1"/>
  <c r="D21" i="4"/>
  <c r="C21" i="4"/>
  <c r="D19" i="4"/>
  <c r="C19" i="4"/>
  <c r="D18" i="4"/>
  <c r="C18" i="4"/>
  <c r="D17" i="4"/>
  <c r="C17" i="4"/>
  <c r="D16" i="4"/>
  <c r="C16" i="4"/>
  <c r="D15" i="4"/>
  <c r="C15" i="4"/>
  <c r="C41" i="4" s="1"/>
  <c r="D14" i="4"/>
  <c r="D40" i="4" s="1"/>
  <c r="C14" i="4"/>
  <c r="C40" i="4" s="1"/>
  <c r="D13" i="4"/>
  <c r="C13" i="4"/>
  <c r="C39" i="4" s="1"/>
  <c r="D12" i="4"/>
  <c r="D38" i="4" s="1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C34" i="4" s="1"/>
  <c r="C3" i="4"/>
  <c r="D28" i="3"/>
  <c r="D3" i="4" s="1"/>
  <c r="C28" i="3"/>
  <c r="C31" i="2"/>
  <c r="D30" i="2"/>
  <c r="D31" i="2" s="1"/>
  <c r="C30" i="2"/>
  <c r="D23" i="2"/>
  <c r="B19" i="2"/>
  <c r="B18" i="2"/>
  <c r="B17" i="2"/>
  <c r="B16" i="2"/>
  <c r="D33" i="2" s="1"/>
  <c r="B15" i="2"/>
  <c r="B14" i="2"/>
  <c r="D21" i="3" s="1"/>
  <c r="D22" i="4" s="1"/>
  <c r="B13" i="2"/>
  <c r="C28" i="2" s="1"/>
  <c r="B11" i="2"/>
  <c r="D26" i="2" s="1"/>
  <c r="B10" i="2"/>
  <c r="D25" i="2" s="1"/>
  <c r="B9" i="2"/>
  <c r="D24" i="2" s="1"/>
  <c r="B7" i="2"/>
  <c r="C23" i="2" s="1"/>
  <c r="B6" i="2"/>
  <c r="B5" i="2"/>
  <c r="H15" i="1"/>
  <c r="B15" i="1"/>
  <c r="H14" i="1"/>
  <c r="C14" i="1"/>
  <c r="B14" i="1"/>
  <c r="C24" i="2" l="1"/>
  <c r="C25" i="2"/>
  <c r="D28" i="2"/>
  <c r="B8" i="2"/>
  <c r="T11" i="7"/>
  <c r="S11" i="7"/>
  <c r="T10" i="7"/>
  <c r="S10" i="7"/>
  <c r="D33" i="4"/>
  <c r="D35" i="4" s="1"/>
  <c r="C15" i="1"/>
  <c r="D31" i="4"/>
  <c r="D41" i="4"/>
  <c r="D39" i="4"/>
  <c r="K4" i="6"/>
  <c r="T8" i="7"/>
  <c r="S8" i="7"/>
  <c r="D54" i="4"/>
  <c r="D56" i="4" s="1"/>
  <c r="C42" i="4"/>
  <c r="F34" i="6"/>
  <c r="T5" i="7"/>
  <c r="H34" i="6" s="1"/>
  <c r="S5" i="7"/>
  <c r="G34" i="6" s="1"/>
  <c r="D47" i="4"/>
  <c r="D49" i="4" s="1"/>
  <c r="F35" i="6"/>
  <c r="T6" i="7"/>
  <c r="H35" i="6" s="1"/>
  <c r="S6" i="7"/>
  <c r="G35" i="6" s="1"/>
  <c r="T9" i="7"/>
  <c r="S9" i="7"/>
  <c r="E36" i="6"/>
  <c r="T7" i="7"/>
  <c r="S7" i="7"/>
  <c r="T12" i="7"/>
  <c r="S12" i="7"/>
  <c r="D42" i="4"/>
  <c r="T13" i="7"/>
  <c r="S13" i="7"/>
  <c r="B12" i="2"/>
  <c r="C31" i="4"/>
  <c r="C26" i="2"/>
  <c r="C32" i="2"/>
  <c r="C19" i="3"/>
  <c r="C20" i="4" s="1"/>
  <c r="C54" i="4" s="1"/>
  <c r="C56" i="4" s="1"/>
  <c r="C32" i="4"/>
  <c r="D32" i="2"/>
  <c r="D19" i="3"/>
  <c r="D20" i="4" s="1"/>
  <c r="C33" i="2"/>
  <c r="C21" i="3"/>
  <c r="C22" i="4" s="1"/>
  <c r="C47" i="4" s="1"/>
  <c r="C49" i="4" s="1"/>
  <c r="C33" i="4"/>
  <c r="C35" i="4" s="1"/>
  <c r="K3" i="6"/>
  <c r="K6" i="6"/>
  <c r="C51" i="4" l="1"/>
  <c r="C57" i="4"/>
  <c r="C50" i="4"/>
  <c r="D14" i="1"/>
  <c r="C37" i="2"/>
  <c r="D37" i="2"/>
  <c r="D15" i="1"/>
  <c r="D51" i="4"/>
  <c r="D57" i="4"/>
  <c r="D50" i="4"/>
  <c r="D32" i="4"/>
  <c r="D44" i="4"/>
  <c r="D43" i="4"/>
  <c r="D27" i="2"/>
  <c r="C27" i="2"/>
  <c r="C44" i="4"/>
  <c r="C60" i="4" s="1"/>
  <c r="C43" i="4"/>
  <c r="B25" i="6" l="1"/>
  <c r="B20" i="6"/>
  <c r="B24" i="6"/>
  <c r="B19" i="6"/>
  <c r="K5" i="6"/>
  <c r="B18" i="6"/>
  <c r="B16" i="6"/>
  <c r="B17" i="6"/>
  <c r="B23" i="6"/>
  <c r="B21" i="6"/>
  <c r="B22" i="6"/>
  <c r="B28" i="6"/>
  <c r="B26" i="6"/>
  <c r="B27" i="6"/>
  <c r="C22" i="6"/>
  <c r="C17" i="6"/>
  <c r="C28" i="6"/>
  <c r="C26" i="6"/>
  <c r="C24" i="6"/>
  <c r="C27" i="6"/>
  <c r="C19" i="6"/>
  <c r="C16" i="6"/>
  <c r="C23" i="6"/>
  <c r="C18" i="6"/>
  <c r="C21" i="6"/>
  <c r="C20" i="6"/>
  <c r="C25" i="6"/>
  <c r="C61" i="4"/>
  <c r="C62" i="4"/>
  <c r="D60" i="4"/>
  <c r="C8" i="6" l="1"/>
  <c r="F11" i="6"/>
  <c r="D11" i="6"/>
  <c r="E12" i="6"/>
  <c r="H10" i="6"/>
  <c r="B9" i="6"/>
  <c r="H8" i="6"/>
  <c r="H9" i="6"/>
  <c r="F9" i="6"/>
  <c r="F10" i="6"/>
  <c r="F7" i="6"/>
  <c r="F8" i="6"/>
  <c r="D8" i="6"/>
  <c r="H12" i="6"/>
  <c r="G11" i="6"/>
  <c r="H6" i="6"/>
  <c r="C10" i="6"/>
  <c r="C11" i="6"/>
  <c r="D12" i="6"/>
  <c r="B12" i="6"/>
  <c r="E10" i="6"/>
  <c r="G7" i="6"/>
  <c r="G8" i="6"/>
  <c r="G9" i="6"/>
  <c r="G10" i="6"/>
  <c r="G6" i="6"/>
  <c r="E6" i="6"/>
  <c r="E7" i="6"/>
  <c r="E8" i="6"/>
  <c r="E9" i="6"/>
  <c r="E11" i="6"/>
  <c r="G12" i="6"/>
  <c r="C6" i="6"/>
  <c r="C7" i="6"/>
  <c r="C12" i="6"/>
  <c r="C9" i="6"/>
  <c r="D10" i="6"/>
  <c r="B10" i="6"/>
  <c r="B11" i="6"/>
  <c r="H7" i="6"/>
  <c r="F6" i="6"/>
  <c r="D6" i="6"/>
  <c r="D7" i="6"/>
  <c r="B6" i="6"/>
  <c r="H11" i="6"/>
  <c r="D9" i="6"/>
  <c r="B7" i="6"/>
  <c r="B8" i="6"/>
  <c r="F12" i="6"/>
  <c r="D61" i="4"/>
  <c r="D62" i="4"/>
  <c r="B7" i="5"/>
  <c r="K7" i="6"/>
  <c r="C17" i="5"/>
  <c r="C18" i="5" s="1"/>
  <c r="B6" i="5"/>
  <c r="B5" i="5"/>
  <c r="B4" i="5"/>
  <c r="B12" i="5"/>
  <c r="B13" i="5"/>
  <c r="E14" i="1"/>
  <c r="B11" i="5"/>
  <c r="B10" i="5"/>
  <c r="C63" i="4"/>
  <c r="K8" i="6" s="1"/>
  <c r="B9" i="5"/>
  <c r="C26" i="5"/>
  <c r="B8" i="5"/>
  <c r="C12" i="5" l="1"/>
  <c r="D12" i="5" s="1"/>
  <c r="E12" i="5" s="1"/>
  <c r="L12" i="5"/>
  <c r="C4" i="5"/>
  <c r="D4" i="5" s="1"/>
  <c r="E4" i="5" s="1"/>
  <c r="L4" i="5"/>
  <c r="C5" i="5"/>
  <c r="D5" i="5" s="1"/>
  <c r="E5" i="5" s="1"/>
  <c r="L5" i="5"/>
  <c r="C9" i="5"/>
  <c r="D9" i="5" s="1"/>
  <c r="E9" i="5" s="1"/>
  <c r="L9" i="5"/>
  <c r="F14" i="1"/>
  <c r="C28" i="4"/>
  <c r="C19" i="5"/>
  <c r="C20" i="5" s="1"/>
  <c r="C21" i="5" s="1"/>
  <c r="C35" i="2"/>
  <c r="L8" i="5"/>
  <c r="C8" i="5"/>
  <c r="D8" i="5" s="1"/>
  <c r="E8" i="5" s="1"/>
  <c r="C6" i="5"/>
  <c r="D6" i="5" s="1"/>
  <c r="E6" i="5" s="1"/>
  <c r="L6" i="5"/>
  <c r="L7" i="5"/>
  <c r="C7" i="5"/>
  <c r="D7" i="5" s="1"/>
  <c r="E7" i="5" s="1"/>
  <c r="C11" i="5"/>
  <c r="D11" i="5" s="1"/>
  <c r="E11" i="5" s="1"/>
  <c r="L11" i="5"/>
  <c r="C10" i="5"/>
  <c r="D10" i="5" s="1"/>
  <c r="E10" i="5" s="1"/>
  <c r="L10" i="5"/>
  <c r="F13" i="5"/>
  <c r="E15" i="1"/>
  <c r="F12" i="5"/>
  <c r="D17" i="5"/>
  <c r="D18" i="5" s="1"/>
  <c r="F11" i="5"/>
  <c r="F10" i="5"/>
  <c r="F8" i="5"/>
  <c r="F9" i="5"/>
  <c r="D63" i="4"/>
  <c r="F7" i="5"/>
  <c r="F6" i="5"/>
  <c r="F5" i="5"/>
  <c r="D26" i="5"/>
  <c r="F4" i="5"/>
  <c r="C13" i="5"/>
  <c r="D13" i="5" s="1"/>
  <c r="E13" i="5" s="1"/>
  <c r="L13" i="5"/>
  <c r="G8" i="5" l="1"/>
  <c r="H8" i="5" s="1"/>
  <c r="I8" i="5" s="1"/>
  <c r="M8" i="5"/>
  <c r="G9" i="5"/>
  <c r="H9" i="5" s="1"/>
  <c r="I9" i="5" s="1"/>
  <c r="M9" i="5"/>
  <c r="C74" i="4"/>
  <c r="C64" i="4"/>
  <c r="C65" i="4" s="1"/>
  <c r="K9" i="6"/>
  <c r="C73" i="4"/>
  <c r="C67" i="4"/>
  <c r="C70" i="4"/>
  <c r="G10" i="5"/>
  <c r="H10" i="5" s="1"/>
  <c r="I10" i="5" s="1"/>
  <c r="M10" i="5"/>
  <c r="G11" i="5"/>
  <c r="H11" i="5" s="1"/>
  <c r="I11" i="5" s="1"/>
  <c r="M11" i="5"/>
  <c r="M4" i="5"/>
  <c r="G4" i="5"/>
  <c r="H4" i="5" s="1"/>
  <c r="I4" i="5" s="1"/>
  <c r="D28" i="4"/>
  <c r="F15" i="1"/>
  <c r="D19" i="5"/>
  <c r="D20" i="5" s="1"/>
  <c r="D21" i="5" s="1"/>
  <c r="D35" i="2"/>
  <c r="G12" i="5"/>
  <c r="H12" i="5" s="1"/>
  <c r="I12" i="5" s="1"/>
  <c r="M12" i="5"/>
  <c r="M6" i="5"/>
  <c r="G6" i="5"/>
  <c r="H6" i="5" s="1"/>
  <c r="I6" i="5" s="1"/>
  <c r="M13" i="5"/>
  <c r="G13" i="5"/>
  <c r="H13" i="5" s="1"/>
  <c r="I13" i="5" s="1"/>
  <c r="M7" i="5"/>
  <c r="G7" i="5"/>
  <c r="H7" i="5" s="1"/>
  <c r="I7" i="5" s="1"/>
  <c r="C38" i="2"/>
  <c r="C36" i="5"/>
  <c r="C36" i="2"/>
  <c r="M5" i="5"/>
  <c r="G5" i="5"/>
  <c r="H5" i="5" s="1"/>
  <c r="I5" i="5" s="1"/>
  <c r="D38" i="2" l="1"/>
  <c r="D36" i="5"/>
  <c r="D36" i="2"/>
  <c r="C38" i="5"/>
  <c r="C46" i="2"/>
  <c r="C47" i="2" s="1"/>
  <c r="C41" i="2"/>
  <c r="C39" i="2"/>
  <c r="C40" i="2" s="1"/>
  <c r="C71" i="4"/>
  <c r="C72" i="4" s="1"/>
  <c r="C69" i="4"/>
  <c r="C68" i="4"/>
  <c r="D64" i="4"/>
  <c r="D65" i="4" s="1"/>
  <c r="D66" i="4" s="1"/>
  <c r="D74" i="4"/>
  <c r="D73" i="4"/>
  <c r="D67" i="4"/>
  <c r="D70" i="4"/>
  <c r="C66" i="4"/>
  <c r="K10" i="6"/>
  <c r="G14" i="1"/>
  <c r="C37" i="5"/>
  <c r="D71" i="4" l="1"/>
  <c r="D72" i="4" s="1"/>
  <c r="D69" i="4"/>
  <c r="D68" i="4"/>
  <c r="C44" i="2"/>
  <c r="C42" i="2"/>
  <c r="C43" i="2" s="1"/>
  <c r="C45" i="2" s="1"/>
  <c r="D37" i="5"/>
  <c r="G15" i="1"/>
  <c r="D41" i="2"/>
  <c r="D46" i="2"/>
  <c r="D47" i="2" s="1"/>
  <c r="D39" i="2"/>
  <c r="D40" i="2" s="1"/>
  <c r="D44" i="2" l="1"/>
  <c r="D42" i="2"/>
  <c r="D43" i="2" s="1"/>
  <c r="D45" i="2" s="1"/>
</calcChain>
</file>

<file path=xl/sharedStrings.xml><?xml version="1.0" encoding="utf-8"?>
<sst xmlns="http://schemas.openxmlformats.org/spreadsheetml/2006/main" count="1496" uniqueCount="527">
  <si>
    <t>Transport Break-Even Engine — Start Here</t>
  </si>
  <si>
    <t>Purpose</t>
  </si>
  <si>
    <t>Use this workbook in the order below: select jurisdiction, fill operational inputs, review break-even, then price with markup and tax view.</t>
  </si>
  <si>
    <t>Step</t>
  </si>
  <si>
    <t>Sheet</t>
  </si>
  <si>
    <t>What you do</t>
  </si>
  <si>
    <t>Editable?</t>
  </si>
  <si>
    <t>Result</t>
  </si>
  <si>
    <t>Company &amp; Tax Profile</t>
  </si>
  <si>
    <t>Select country/jurisdiction, company type, and business model.</t>
  </si>
  <si>
    <t>Yes</t>
  </si>
  <si>
    <t>Tax defaults and company profile are prefilled.</t>
  </si>
  <si>
    <t>Inputs</t>
  </si>
  <si>
    <t>Fill daily km, operating days, loaded ratio, costs, driver assumptions and overhead.</t>
  </si>
  <si>
    <t>Annual km and operating costs are calculated.</t>
  </si>
  <si>
    <t>Engine</t>
  </si>
  <si>
    <t>Read operational break-even and total annual cost.</t>
  </si>
  <si>
    <t>No</t>
  </si>
  <si>
    <t>Break-even €/loaded km and €/tonne-km.</t>
  </si>
  <si>
    <t>Pricing Scenarios</t>
  </si>
  <si>
    <t>Choose markup over break-even.</t>
  </si>
  <si>
    <t>Customer rate, VAT invoice rate, EBIT and after-tax margin.</t>
  </si>
  <si>
    <t>Sensitivity</t>
  </si>
  <si>
    <t>Review utilisation, rate, payload and vehicle-class sensitivity.</t>
  </si>
  <si>
    <t>Mostly no</t>
  </si>
  <si>
    <t>Shows risk from low load factor and wrong truck class.</t>
  </si>
  <si>
    <t>Vehicle Classes / Tax Rules</t>
  </si>
  <si>
    <t>Update defaults only when you have better fleet or tax data.</t>
  </si>
  <si>
    <t>Advanced</t>
  </si>
  <si>
    <t>Better assumptions for future scenarios.</t>
  </si>
  <si>
    <t>Current model summary</t>
  </si>
  <si>
    <t>Profile</t>
  </si>
  <si>
    <t>Country</t>
  </si>
  <si>
    <t>Annual km</t>
  </si>
  <si>
    <t>Loaded km</t>
  </si>
  <si>
    <t>Break-even €/loaded km</t>
  </si>
  <si>
    <t>Selected rate excl. VAT</t>
  </si>
  <si>
    <t>Invoice rate incl. VAT</t>
  </si>
  <si>
    <t>After-tax margin</t>
  </si>
  <si>
    <t>Long Distance 40t</t>
  </si>
  <si>
    <t>Regional 40t</t>
  </si>
  <si>
    <t>Colour legend</t>
  </si>
  <si>
    <t>Yellow</t>
  </si>
  <si>
    <t>Editable input</t>
  </si>
  <si>
    <t>Light blue</t>
  </si>
  <si>
    <t>Formula / linked value</t>
  </si>
  <si>
    <t>Light green</t>
  </si>
  <si>
    <t>Key output</t>
  </si>
  <si>
    <t>Grey</t>
  </si>
  <si>
    <t>Instruction / modelling note</t>
  </si>
  <si>
    <t>Important modelling rule</t>
  </si>
  <si>
    <t>VAT is not profit. It is shown only as invoice/cash value. Business profitability uses customer rate excluding VAT.</t>
  </si>
  <si>
    <t>Customer rate is not an input in Inputs. It is calculated after break-even in Pricing Scenarios.</t>
  </si>
  <si>
    <t>Company &amp; Tax Profile — Cascading Jurisdiction Logic</t>
  </si>
  <si>
    <t>Cascade selection</t>
  </si>
  <si>
    <t>Selected value</t>
  </si>
  <si>
    <t>Status / formula</t>
  </si>
  <si>
    <t>Unit</t>
  </si>
  <si>
    <t>Modelling note</t>
  </si>
  <si>
    <t>Company country / jurisdiction</t>
  </si>
  <si>
    <t>Romania</t>
  </si>
  <si>
    <t>Master field</t>
  </si>
  <si>
    <t>Drives company type, business model, VAT, corporate tax, payroll contribution and vehicle-tax defaults.</t>
  </si>
  <si>
    <t>Company type</t>
  </si>
  <si>
    <t>Depends on country</t>
  </si>
  <si>
    <t>Dropdown is controlled by country/jurisdiction. Formula uses INDEX/MATCH for Excel compatibility.</t>
  </si>
  <si>
    <t>Business model</t>
  </si>
  <si>
    <t>Depends on country + company type</t>
  </si>
  <si>
    <t>Dropdown uses approved operating models. Cascade validity checks country + company type + business model.</t>
  </si>
  <si>
    <t>VAT registered</t>
  </si>
  <si>
    <t>Pre-filled from country default</t>
  </si>
  <si>
    <t>Yes/No</t>
  </si>
  <si>
    <t>VAT does not create profit. It is shown as invoice/cash value only.</t>
  </si>
  <si>
    <t>Cascade validity</t>
  </si>
  <si>
    <t>Check</t>
  </si>
  <si>
    <t>If invalid, reselect company type/business model after changing country.</t>
  </si>
  <si>
    <t>Standard VAT rate</t>
  </si>
  <si>
    <t>Pre-filled</t>
  </si>
  <si>
    <t>%</t>
  </si>
  <si>
    <t>Standard VAT rate used for customer invoice amount.</t>
  </si>
  <si>
    <t>Corporate / business income tax rate</t>
  </si>
  <si>
    <t>Standard corporate rate or simplified business-tax proxy.</t>
  </si>
  <si>
    <t>Local / trade tax rate</t>
  </si>
  <si>
    <t>Municipal/local trade tax if applicable. Germany and Hungary are modelled with proxies.</t>
  </si>
  <si>
    <t>Effective business tax rate</t>
  </si>
  <si>
    <t>Formula</t>
  </si>
  <si>
    <t>Corporate/business tax + local/trade tax, capped between 0% and 100%.</t>
  </si>
  <si>
    <t>Target after-tax profit margin</t>
  </si>
  <si>
    <t>Pre-filled default</t>
  </si>
  <si>
    <t>Used to calculate required customer rate for target after-tax margin.</t>
  </si>
  <si>
    <t>Employer payroll contribution rate</t>
  </si>
  <si>
    <t>% of gross salary</t>
  </si>
  <si>
    <t>Used by the Inputs sheet as employer tax rate on salary.</t>
  </si>
  <si>
    <t>Employee contribution rate</t>
  </si>
  <si>
    <t>Informational</t>
  </si>
  <si>
    <t>Shown for context only; not charged again if salary inputs are gross salary.</t>
  </si>
  <si>
    <t>Default vehicle tax / truck / year</t>
  </si>
  <si>
    <t>EUR/year</t>
  </si>
  <si>
    <t>Indicative default. Replace with vehicle-specific road/vehicle tax where available.</t>
  </si>
  <si>
    <t>Currency</t>
  </si>
  <si>
    <t>Workbook remains in EUR; non-EUR jurisdictions need FX consistency.</t>
  </si>
  <si>
    <t>Tax-source as-of</t>
  </si>
  <si>
    <t>Date of source-data refresh.</t>
  </si>
  <si>
    <t>Country rule note</t>
  </si>
  <si>
    <t>Country-specific limitations of the simplified model.</t>
  </si>
  <si>
    <t>Tax values pushed into pricing engine</t>
  </si>
  <si>
    <t>Long distance 40t</t>
  </si>
  <si>
    <t>Source</t>
  </si>
  <si>
    <t>From cascade selection</t>
  </si>
  <si>
    <t>Formula: corporate + local/trade tax</t>
  </si>
  <si>
    <t>Number of trucks</t>
  </si>
  <si>
    <t>Manual profile-level assumption</t>
  </si>
  <si>
    <t>Drivers per truck</t>
  </si>
  <si>
    <t>Linked from Inputs</t>
  </si>
  <si>
    <t>Total drivers</t>
  </si>
  <si>
    <t>Employer contribution profile</t>
  </si>
  <si>
    <t>From country payroll rule</t>
  </si>
  <si>
    <t>Vehicle tax annual</t>
  </si>
  <si>
    <t>From country vehicle-tax default</t>
  </si>
  <si>
    <t>Business tax treatment note</t>
  </si>
  <si>
    <t>Tax positive EBIT only</t>
  </si>
  <si>
    <t>Model simplification</t>
  </si>
  <si>
    <t>Selected customer rate excl. VAT</t>
  </si>
  <si>
    <t>EUR/loaded km</t>
  </si>
  <si>
    <t>From Pricing Scenarios selected markup</t>
  </si>
  <si>
    <t>Customer invoice rate incl. VAT</t>
  </si>
  <si>
    <t>Formula: excl. VAT × (1 + VAT) if VAT registered</t>
  </si>
  <si>
    <t>Loaded km / year</t>
  </si>
  <si>
    <t>km/year</t>
  </si>
  <si>
    <t>From Engine</t>
  </si>
  <si>
    <t>Annual revenue excl. VAT</t>
  </si>
  <si>
    <t>Customer rate excl. VAT × loaded km/year</t>
  </si>
  <si>
    <t>VAT collected / payable</t>
  </si>
  <si>
    <t>Invoice VAT component</t>
  </si>
  <si>
    <t>Invoice value incl. VAT</t>
  </si>
  <si>
    <t>Revenue excl. VAT + VAT</t>
  </si>
  <si>
    <t>EBIT before business tax</t>
  </si>
  <si>
    <t>Revenue excl. VAT - operating total cost</t>
  </si>
  <si>
    <t>Business tax charge</t>
  </si>
  <si>
    <t>Profit after business tax</t>
  </si>
  <si>
    <t>EBIT - business tax</t>
  </si>
  <si>
    <t>EBIT margin</t>
  </si>
  <si>
    <t>EBIT / revenue excl. VAT</t>
  </si>
  <si>
    <t>After-tax profit margin</t>
  </si>
  <si>
    <t>Profit after business tax / revenue excl. VAT</t>
  </si>
  <si>
    <t>Required after-tax profit</t>
  </si>
  <si>
    <t>Revenue excl. VAT × target after-tax margin / (1 - tax rate)</t>
  </si>
  <si>
    <t>Required customer rate for target after-tax margin</t>
  </si>
  <si>
    <t>(Cost + required after-tax profit) / loaded km</t>
  </si>
  <si>
    <t>Input</t>
  </si>
  <si>
    <t>Comment</t>
  </si>
  <si>
    <t>Daily km</t>
  </si>
  <si>
    <t>km/day</t>
  </si>
  <si>
    <t>Editable daily distance; annual total km is calculated as daily km × operating days</t>
  </si>
  <si>
    <t>Operating days</t>
  </si>
  <si>
    <t>days/year</t>
  </si>
  <si>
    <t>Vehicle operating days</t>
  </si>
  <si>
    <t>Working days</t>
  </si>
  <si>
    <t>Used for driver allowance calculation</t>
  </si>
  <si>
    <t>Annual working hours</t>
  </si>
  <si>
    <t>hours/year</t>
  </si>
  <si>
    <t>Available driver working hours</t>
  </si>
  <si>
    <t>Average speed</t>
  </si>
  <si>
    <t>km/h</t>
  </si>
  <si>
    <t>Used to estimate driving hours</t>
  </si>
  <si>
    <t>Loaded ratio</t>
  </si>
  <si>
    <t>% loaded km</t>
  </si>
  <si>
    <t>Revenue km divided by total km</t>
  </si>
  <si>
    <t>Capacity utilisation</t>
  </si>
  <si>
    <t>% capacity</t>
  </si>
  <si>
    <t>Payload/capacity usage; diagnostic only</t>
  </si>
  <si>
    <t>Waiting/loading/unloading time</t>
  </si>
  <si>
    <t>hours/day</t>
  </si>
  <si>
    <t>Converted from original waiting-time text</t>
  </si>
  <si>
    <t>Fuel consumption</t>
  </si>
  <si>
    <t>L/100km</t>
  </si>
  <si>
    <t>Average consumption</t>
  </si>
  <si>
    <t>Fuel price excl. VAT</t>
  </si>
  <si>
    <t>EUR/L</t>
  </si>
  <si>
    <t>Original formula 5.91 / 4.67</t>
  </si>
  <si>
    <t>Tyres annual cost</t>
  </si>
  <si>
    <t>Maintenance annual cost</t>
  </si>
  <si>
    <t>Road fees annual cost</t>
  </si>
  <si>
    <t>Tractor ownership annual cost</t>
  </si>
  <si>
    <t>Trailer ownership annual cost</t>
  </si>
  <si>
    <t>Vehicle insurance annual</t>
  </si>
  <si>
    <t>Cargo insurance annual</t>
  </si>
  <si>
    <t>Vehicle taxes annual</t>
  </si>
  <si>
    <t>Linked from Company &amp; Tax Profile; replace country default with vehicle-specific tax if needed.</t>
  </si>
  <si>
    <t>Monthly driver salary</t>
  </si>
  <si>
    <t>EUR/month</t>
  </si>
  <si>
    <t>Employer tax rate on salary</t>
  </si>
  <si>
    <t>Linked from Company &amp; Tax Profile employer payroll contribution rate.</t>
  </si>
  <si>
    <t>Travel allowance per working day</t>
  </si>
  <si>
    <t>EUR/day</t>
  </si>
  <si>
    <t>Drivers per vehicle</t>
  </si>
  <si>
    <t>count</t>
  </si>
  <si>
    <t>Structural overhead annual</t>
  </si>
  <si>
    <t>Commercial/admin overhead annual cost</t>
  </si>
  <si>
    <t>Optional general commercial overhead, set to zero by default</t>
  </si>
  <si>
    <t>Target EBIT margin</t>
  </si>
  <si>
    <t>% revenue</t>
  </si>
  <si>
    <t>Required margin on revenue</t>
  </si>
  <si>
    <t>Customer pricing source</t>
  </si>
  <si>
    <t>sheet</t>
  </si>
  <si>
    <t>Customer rate is calculated after break-even; it is no longer an input assumption.</t>
  </si>
  <si>
    <t>Computed annual total km</t>
  </si>
  <si>
    <t>Formula: daily km × operating days</t>
  </si>
  <si>
    <t>Metric</t>
  </si>
  <si>
    <t>Formula logic</t>
  </si>
  <si>
    <t>Input links</t>
  </si>
  <si>
    <t>Annual total km</t>
  </si>
  <si>
    <t>Computed from daily km × operating days</t>
  </si>
  <si>
    <t>Diagnostic</t>
  </si>
  <si>
    <t>Selected customer rate per loaded km</t>
  </si>
  <si>
    <t>Calculated in Pricing Scenarios after break-even price</t>
  </si>
  <si>
    <t>Operational outputs</t>
  </si>
  <si>
    <t>Loaded revenue km</t>
  </si>
  <si>
    <t>Annual total km × loaded ratio</t>
  </si>
  <si>
    <t>Empty/non-revenue km</t>
  </si>
  <si>
    <t>Annual total km - loaded km</t>
  </si>
  <si>
    <t>Driving hours</t>
  </si>
  <si>
    <t>Annual total km / average speed</t>
  </si>
  <si>
    <t>Waiting/loading/unloading hours</t>
  </si>
  <si>
    <t>Operating days × waiting time/day</t>
  </si>
  <si>
    <t>Total activity hours</t>
  </si>
  <si>
    <t>Driving hours + waiting/loading/unloading hours</t>
  </si>
  <si>
    <t>Variable cost block</t>
  </si>
  <si>
    <t>Fuel cost</t>
  </si>
  <si>
    <t>EUR/total km</t>
  </si>
  <si>
    <t>Fuel consumption / 100 × fuel price</t>
  </si>
  <si>
    <t>Tyres cost</t>
  </si>
  <si>
    <t>Annual tyres / annual total km</t>
  </si>
  <si>
    <t>Maintenance cost</t>
  </si>
  <si>
    <t>Annual maintenance / annual total km</t>
  </si>
  <si>
    <t>Road fees cost</t>
  </si>
  <si>
    <t>Annual road fees / annual total km</t>
  </si>
  <si>
    <t>Variable operating cost</t>
  </si>
  <si>
    <t>Fuel + tyres + maintenance + road fees</t>
  </si>
  <si>
    <t>Variable cost per total km / loaded ratio</t>
  </si>
  <si>
    <t>Annual variable operating cost</t>
  </si>
  <si>
    <t>Variable cost per total km × annual total km</t>
  </si>
  <si>
    <t>Driver cost block</t>
  </si>
  <si>
    <t>Salary incl. employer taxes</t>
  </si>
  <si>
    <t>Monthly salary × 12 × drivers × (1 + tax rate)</t>
  </si>
  <si>
    <t>Travel allowance</t>
  </si>
  <si>
    <t>Allowance/day × working days × drivers</t>
  </si>
  <si>
    <t>Total driver cost</t>
  </si>
  <si>
    <t>Salary incl. taxes + allowance</t>
  </si>
  <si>
    <t>Driver cost per activity hour</t>
  </si>
  <si>
    <t>EUR/hour</t>
  </si>
  <si>
    <t>Total driver cost / activity hours</t>
  </si>
  <si>
    <t>Driver cost per loaded km</t>
  </si>
  <si>
    <t>Total driver cost / loaded km</t>
  </si>
  <si>
    <t>Fixed cost block</t>
  </si>
  <si>
    <t>Vehicle fixed cost</t>
  </si>
  <si>
    <t>Tractor + trailer + insurance + taxes</t>
  </si>
  <si>
    <t>Structural/admin fixed cost</t>
  </si>
  <si>
    <t>Structural overhead + commercial/admin overhead</t>
  </si>
  <si>
    <t>Fixed cost before driver</t>
  </si>
  <si>
    <t>Vehicle fixed + structural/admin fixed</t>
  </si>
  <si>
    <t>Fixed cost including driver</t>
  </si>
  <si>
    <t>Fixed before driver + driver cost</t>
  </si>
  <si>
    <t>Break-even outputs</t>
  </si>
  <si>
    <t>Total annual cost</t>
  </si>
  <si>
    <t>Variable cost + fixed cost including driver</t>
  </si>
  <si>
    <t>Cost per total km</t>
  </si>
  <si>
    <t>Total annual cost / annual total km</t>
  </si>
  <si>
    <t>Break-even price</t>
  </si>
  <si>
    <t>Total annual cost / loaded km</t>
  </si>
  <si>
    <t>Required price for target EBIT margin</t>
  </si>
  <si>
    <t>Break-even price / (1 - target margin)</t>
  </si>
  <si>
    <t>Annual revenue at selected rate</t>
  </si>
  <si>
    <t>Selected customer rate × loaded revenue km</t>
  </si>
  <si>
    <t>EBIT at selected rate</t>
  </si>
  <si>
    <t>Revenue - total annual cost</t>
  </si>
  <si>
    <t>EBIT margin at selected rate</t>
  </si>
  <si>
    <t>EBIT / revenue</t>
  </si>
  <si>
    <t>Break-even loaded km at selected rate</t>
  </si>
  <si>
    <t>Fixed cost / (selected rate - variable loaded-km cost)</t>
  </si>
  <si>
    <t>Break-even total km at selected rate</t>
  </si>
  <si>
    <t>Break-even loaded km / loaded ratio</t>
  </si>
  <si>
    <t>Break-even utilisation of planned loaded km</t>
  </si>
  <si>
    <t>Break-even loaded km / loaded km</t>
  </si>
  <si>
    <t>Required loaded ratio at planned total km</t>
  </si>
  <si>
    <t>Total cost / (selected rate × total km)</t>
  </si>
  <si>
    <t>Loaded-km safety margin</t>
  </si>
  <si>
    <t>Loaded km - break-even loaded km</t>
  </si>
  <si>
    <t>Safety margin</t>
  </si>
  <si>
    <t>Safety margin / loaded km</t>
  </si>
  <si>
    <t>Rate variance vs break-even</t>
  </si>
  <si>
    <t>Selected customer rate - break-even price</t>
  </si>
  <si>
    <t>Profit contribution</t>
  </si>
  <si>
    <t>Customer pricing layer after break-even</t>
  </si>
  <si>
    <t>Markup over break-even</t>
  </si>
  <si>
    <t>LD rate €/loaded km</t>
  </si>
  <si>
    <t>LD annual revenue</t>
  </si>
  <si>
    <t>LD EBIT</t>
  </si>
  <si>
    <t>LD EBIT margin</t>
  </si>
  <si>
    <t>Regional rate €/loaded km</t>
  </si>
  <si>
    <t>Regional annual revenue</t>
  </si>
  <si>
    <t>Regional EBIT</t>
  </si>
  <si>
    <t>Regional EBIT margin</t>
  </si>
  <si>
    <t>Markup</t>
  </si>
  <si>
    <t>LD final rate</t>
  </si>
  <si>
    <t>Regional final rate</t>
  </si>
  <si>
    <t>Selected pricing assumption</t>
  </si>
  <si>
    <t>Selected markup over break-even</t>
  </si>
  <si>
    <t>Final customer rate per loaded km</t>
  </si>
  <si>
    <t>Annual revenue at final rate</t>
  </si>
  <si>
    <t>EBIT at final rate</t>
  </si>
  <si>
    <t>EBIT margin at final rate</t>
  </si>
  <si>
    <t>Target margin cross-check</t>
  </si>
  <si>
    <t>Target EBIT margin from Inputs</t>
  </si>
  <si>
    <t>Markup needed to reach target margin</t>
  </si>
  <si>
    <t>% over break-even</t>
  </si>
  <si>
    <t>Rate needed to reach target margin</t>
  </si>
  <si>
    <t>Logic note</t>
  </si>
  <si>
    <t>Break-even is calculated first in Engine row 62.</t>
  </si>
  <si>
    <t>Customer rate is then calculated here as: break-even price × (1 + markup over break-even).</t>
  </si>
  <si>
    <t>A 10% markup over break-even is not the same as a 10% EBIT margin; a 10% EBIT margin requires an 11.11% markup over break-even.</t>
  </si>
  <si>
    <t>Tax-adjusted selected pricing view</t>
  </si>
  <si>
    <t>Formula / source</t>
  </si>
  <si>
    <t>Customer rate excl. VAT</t>
  </si>
  <si>
    <t>From selected pricing assumption above.</t>
  </si>
  <si>
    <t>From Company &amp; Tax Profile.</t>
  </si>
  <si>
    <t>Revenue used for EBIT.</t>
  </si>
  <si>
    <t>Cash/invoice layer only, not revenue.</t>
  </si>
  <si>
    <t>Customer invoice amount incl. VAT.</t>
  </si>
  <si>
    <t>Operational EBIT before company tax.</t>
  </si>
  <si>
    <t>Tax on positive EBIT only.</t>
  </si>
  <si>
    <t>EBIT minus business tax.</t>
  </si>
  <si>
    <t>EBIT / revenue excl. VAT.</t>
  </si>
  <si>
    <t>Profit after business tax / revenue excl. VAT.</t>
  </si>
  <si>
    <t>Required rate for target after-tax margin</t>
  </si>
  <si>
    <t>Break-even sensitivity</t>
  </si>
  <si>
    <t>Selected profile</t>
  </si>
  <si>
    <t>Selected column</t>
  </si>
  <si>
    <t>Rate/load factor EBIT matrix</t>
  </si>
  <si>
    <t>Variable €/total km</t>
  </si>
  <si>
    <t>Load factor \ Rate</t>
  </si>
  <si>
    <t>Fixed incl driver</t>
  </si>
  <si>
    <t>Current BE price</t>
  </si>
  <si>
    <t>Target margin price</t>
  </si>
  <si>
    <t>Selected customer rate</t>
  </si>
  <si>
    <t>Scenario curve at current loaded ratio</t>
  </si>
  <si>
    <t>Rate</t>
  </si>
  <si>
    <t>Long Distance EBIT</t>
  </si>
  <si>
    <t>Load capability sensitivity by vehicle type</t>
  </si>
  <si>
    <t>This section compares break-even by vehicle capability, from vans to high-capacity trucks. Use EUR/tonne-km when payload is the commercial constraint; use EUR/loaded-km when the truck is sold as a full-truck movement.</t>
  </si>
  <si>
    <t>Vehicle class</t>
  </si>
  <si>
    <t>Payload capacity (t)</t>
  </si>
  <si>
    <t>Effective payload (t)</t>
  </si>
  <si>
    <t>Loaded km/year</t>
  </si>
  <si>
    <t>Annual tonne-km</t>
  </si>
  <si>
    <t>Total annual cost (EUR)</t>
  </si>
  <si>
    <t>Break-even EUR/loaded km</t>
  </si>
  <si>
    <t>Break-even EUR/tonne-km</t>
  </si>
  <si>
    <t>Availability / validation note</t>
  </si>
  <si>
    <t>Source URL</t>
  </si>
  <si>
    <t>Data type</t>
  </si>
  <si>
    <t>Operational class assumption; validate by vehicle body and national rules</t>
  </si>
  <si>
    <t>Editable</t>
  </si>
  <si>
    <t>Medium rigid 12t</t>
  </si>
  <si>
    <t>Operational class assumption; payload depends on body and axle setup</t>
  </si>
  <si>
    <t>Rigid truck 18t</t>
  </si>
  <si>
    <t>Operational class assumption; common distribution/retail class</t>
  </si>
  <si>
    <t>Rigid truck 26t</t>
  </si>
  <si>
    <t>Operational class assumption; common 3-axle heavy rigid class</t>
  </si>
  <si>
    <t>Articulated 40t</t>
  </si>
  <si>
    <t>Standard EU heavy-goods reference class; original model anchor</t>
  </si>
  <si>
    <t>https://ec.europa.eu/commission/presscorner/detail/en/MEMO_13_329</t>
  </si>
  <si>
    <t>Articulated 44t</t>
  </si>
  <si>
    <t>44t only where rules allow, especially combined/intermodal transport</t>
  </si>
  <si>
    <t>EMS / high-capacity 60t</t>
  </si>
  <si>
    <t>Not universal EU-wide; EMS/high-capacity combinations are country/route dependent</t>
  </si>
  <si>
    <t>https://transport.ec.europa.eu/document/download/45e1073e-373a-4156-966b-0523915dec9f_en?filename=SWD_2023_70_implementation_report_amendments_dir_96_53.pdf</t>
  </si>
  <si>
    <t>Payload utilisation matrix - break-even EUR per tonne-km</t>
  </si>
  <si>
    <t>How to read</t>
  </si>
  <si>
    <t>The same truck becomes materially more expensive per tonne-km when it runs below payload potential. This matrix isolates that effect while holding loaded km and annual cost constant by vehicle type.</t>
  </si>
  <si>
    <t>Full-truck pricing</t>
  </si>
  <si>
    <t>Use EUR/loaded km</t>
  </si>
  <si>
    <t>Best for dedicated FTL movement.</t>
  </si>
  <si>
    <t>Commodity density pricing</t>
  </si>
  <si>
    <t>Use EUR/tonne-km</t>
  </si>
  <si>
    <t>Best when payload tonnes are the constraint.</t>
  </si>
  <si>
    <t>Base payload util.</t>
  </si>
  <si>
    <t>Underloaded risk</t>
  </si>
  <si>
    <t>Compare 50%-80% columns</t>
  </si>
  <si>
    <t>Shows break-even damage from low utilisation.</t>
  </si>
  <si>
    <t>Small van</t>
  </si>
  <si>
    <t>High-capacity trucks</t>
  </si>
  <si>
    <t>Check availability note</t>
  </si>
  <si>
    <t>EMS/60t is not universally allowed.</t>
  </si>
  <si>
    <t>Large van 3.5t</t>
  </si>
  <si>
    <t>Light truck 7.5t</t>
  </si>
  <si>
    <t>Vehicle capability assumptions for break-even sensitivity</t>
  </si>
  <si>
    <t>Blue numbers are editable assumptions; formula cells calculate effective payload, loaded km, annual cost and break-even price. Validate payload and legal access for actual countries/routes before using commercially.</t>
  </si>
  <si>
    <t>Capability band</t>
  </si>
  <si>
    <t>GVW (t)</t>
  </si>
  <si>
    <t>Base payload utilisation</t>
  </si>
  <si>
    <t>Fuel L/100km</t>
  </si>
  <si>
    <t>Fuel price (EUR/L)</t>
  </si>
  <si>
    <t>Fuel EUR/km</t>
  </si>
  <si>
    <t>Non-fuel variable EUR/km</t>
  </si>
  <si>
    <t>Variable cost annual (EUR)</t>
  </si>
  <si>
    <t>Driver annual cost (EUR)</t>
  </si>
  <si>
    <t>Fixed vehicle annual (EUR)</t>
  </si>
  <si>
    <t>Structural overhead annual (EUR)</t>
  </si>
  <si>
    <t>Input/data type</t>
  </si>
  <si>
    <t>Urban / light delivery</t>
  </si>
  <si>
    <t>Model assumption; validate payload against actual van spec</t>
  </si>
  <si>
    <t>https://climate.ec.europa.eu/system/files/2017-03/hdv_lightweighting_en.pdf</t>
  </si>
  <si>
    <t>Van / courier</t>
  </si>
  <si>
    <t>3.5t GVW large van; payload can reach about 2t depending on body/spec</t>
  </si>
  <si>
    <t>Small rigid</t>
  </si>
  <si>
    <t>Rigid truck</t>
  </si>
  <si>
    <t>Heavy rigid</t>
  </si>
  <si>
    <t>Standard heavy artic</t>
  </si>
  <si>
    <t>Intermodal / heavier permitted artic</t>
  </si>
  <si>
    <t>Country/permit dependent EMS</t>
  </si>
  <si>
    <t>Note: cost values by truck class are modelling placeholders to make the sensitivity engine work. Replace with actual lease/depreciation, insurance, fuel, toll and driver cost data for commercial decisions.</t>
  </si>
  <si>
    <t>Country / jurisdiction</t>
  </si>
  <si>
    <t>Austria</t>
  </si>
  <si>
    <t>EUR</t>
  </si>
  <si>
    <t>GmbH</t>
  </si>
  <si>
    <t>Fleet operator</t>
  </si>
  <si>
    <t>Corporate rate used for GmbH/AG. Sole traders are subject to progressive personal income tax; validate separately. Vehicle tax is indicative and should be replaced with vehicle-specific Austrian motor/tax data.</t>
  </si>
  <si>
    <t>https://www.usp.gv.at/en/themen/steuern-finanzen/umsatzsteuer-ueberblick/steuersaetze-und-steuerbefreiungen-der-umsatzsteuer.html</t>
  </si>
  <si>
    <t>https://www.usp.gv.at/en/themen/steuern-finanzen/koerperschaftsteuer-ueberblick.html</t>
  </si>
  <si>
    <t>https://taxsummaries.pwc.com/austria/individual/other-taxes</t>
  </si>
  <si>
    <t>2026-05</t>
  </si>
  <si>
    <t>Germany</t>
  </si>
  <si>
    <t>Corporate tax includes 15% Körperschaftsteuer plus 5.5% solidarity surcharge on CIT. Trade tax is municipal; 14% is an average modelling proxy and should be replaced with the exact municipality rate.</t>
  </si>
  <si>
    <t>https://taxation-customs.ec.europa.eu/taxation/vat/vat-directive/vat-rates_en</t>
  </si>
  <si>
    <t>https://taxsummaries.pwc.com/germany/corporate/taxes-on-corporate-income</t>
  </si>
  <si>
    <t>https://taxsummaries.pwc.com/germany/individual/other-taxes</t>
  </si>
  <si>
    <t>RON/EUR</t>
  </si>
  <si>
    <t>SRL</t>
  </si>
  <si>
    <t>Standard CIT used for SRL/SA. Micro-company turnover tax regimes and special working-condition contributions are not modelled by default. VAT standard rate increased to 21% from 1 August 2025.</t>
  </si>
  <si>
    <t>https://www.ey.com/en_gl/technical/tax-alerts/romanian-tax-changes-introduced-by-new-fiscal-and-budgetary-measures</t>
  </si>
  <si>
    <t>https://www.accace.com/tax-guideline-for-romania/</t>
  </si>
  <si>
    <t>https://taxsummaries.pwc.com/romania/individual/other-taxes</t>
  </si>
  <si>
    <t>Hungary</t>
  </si>
  <si>
    <t>HUF/EUR</t>
  </si>
  <si>
    <t>Kft.</t>
  </si>
  <si>
    <t>Local business tax can be up to 2% and is not an EBIT tax; the model uses it as a simplified profit-tax proxy for pricing sensitivity. Validate with municipality and accountant.</t>
  </si>
  <si>
    <t>https://taxsummaries.pwc.com/hungary/corporate/taxes-on-corporate-income</t>
  </si>
  <si>
    <t>https://taxsummaries.pwc.com/hungary/individual/other-taxes</t>
  </si>
  <si>
    <t>Bulgaria</t>
  </si>
  <si>
    <t>BGN/EUR</t>
  </si>
  <si>
    <t>EOOD/OOD</t>
  </si>
  <si>
    <t>Flat 10% CIT used. Employer contribution uses mid-point of published 2026 range; actual rate depends on activity class and caps. No provincial/local corporate income tax.</t>
  </si>
  <si>
    <t>https://taxsummaries.pwc.com/bulgaria/corporate/other-taxes</t>
  </si>
  <si>
    <t>https://taxsummaries.pwc.com/bulgaria/corporate/taxes-on-corporate-income</t>
  </si>
  <si>
    <t>https://taxsummaries.pwc.com/bulgaria/individual/other-taxes</t>
  </si>
  <si>
    <t>Czechia</t>
  </si>
  <si>
    <t>CZK/EUR</t>
  </si>
  <si>
    <t>s.r.o.</t>
  </si>
  <si>
    <t>Standard corporate rate used for s.r.o./a.s. Employer contribution combines 24.8% social security and 9% health insurance. Vehicle tax is indicative.</t>
  </si>
  <si>
    <t>https://portal.gov.cz/en/informace/what-is-the-corporate-income-tax-rate-INF-329</t>
  </si>
  <si>
    <t>https://taxsummaries.pwc.com/czech-republic/individual/other-taxes</t>
  </si>
  <si>
    <t>Slovakia</t>
  </si>
  <si>
    <t>Default CIT rate assumes taxable income above EUR 100k and up to EUR 5m. 10% micro and 24% high-income bands may apply. Employer contributions total 36.2% in 2026.</t>
  </si>
  <si>
    <t>https://taxsummaries.pwc.com/slovak-republic/corporate/other-taxes</t>
  </si>
  <si>
    <t>https://www.accace.com/tax-guideline-for-slovakia/</t>
  </si>
  <si>
    <t>Manual / Custom</t>
  </si>
  <si>
    <t>Manual entity</t>
  </si>
  <si>
    <t>Use this option when the jurisdiction or exact legal entity is not included. Replace all default rates manually before using the model commercially.</t>
  </si>
  <si>
    <t>Manual input</t>
  </si>
  <si>
    <t>Company type 1</t>
  </si>
  <si>
    <t>Company type 2</t>
  </si>
  <si>
    <t>Company type 3</t>
  </si>
  <si>
    <t>Company type 4</t>
  </si>
  <si>
    <t>Company type 5</t>
  </si>
  <si>
    <t>Business model 1</t>
  </si>
  <si>
    <t>Business model 2</t>
  </si>
  <si>
    <t>Business model 3</t>
  </si>
  <si>
    <t>Business model 4</t>
  </si>
  <si>
    <t>Business model 5</t>
  </si>
  <si>
    <t>Einzelunternehmen</t>
  </si>
  <si>
    <t>AG</t>
  </si>
  <si>
    <t>Branch / PE</t>
  </si>
  <si>
    <t>Owner-operator</t>
  </si>
  <si>
    <t>Subcontractor</t>
  </si>
  <si>
    <t>Mixed</t>
  </si>
  <si>
    <t>Carrier with subcontractors</t>
  </si>
  <si>
    <t>UG</t>
  </si>
  <si>
    <t>PFA / II</t>
  </si>
  <si>
    <t>SA</t>
  </si>
  <si>
    <t>Egyéni vállalkozó</t>
  </si>
  <si>
    <t>Zrt. / Nyrt.</t>
  </si>
  <si>
    <t>ET</t>
  </si>
  <si>
    <t>AD</t>
  </si>
  <si>
    <t>OSVČ</t>
  </si>
  <si>
    <t>a.s.</t>
  </si>
  <si>
    <t>živnostník</t>
  </si>
  <si>
    <t>Status</t>
  </si>
  <si>
    <t>Available</t>
  </si>
  <si>
    <t>Workbook guide</t>
  </si>
  <si>
    <t>Use order</t>
  </si>
  <si>
    <t>Start Here → Company &amp; Tax Profile → Inputs → Engine → Pricing Scenarios → Sensitivity.</t>
  </si>
  <si>
    <t>Editable cells</t>
  </si>
  <si>
    <t>Yellow cells are meant for input. Blue cells are formula/linked values. Green cells are key results.</t>
  </si>
  <si>
    <t>Country/jurisdiction is the master field. Company type and business model follow it. Tax fields are prefilled from Tax Rules.</t>
  </si>
  <si>
    <t>Daily km is the input; annual total km is calculated as Daily km × Operating days.</t>
  </si>
  <si>
    <t>Do not edit. It calculates operational cost, loaded km, break-even €/loaded km and target-margin rates.</t>
  </si>
  <si>
    <t>Customer rate is calculated after break-even: break-even × (1 + markup). VAT is shown separately.</t>
  </si>
  <si>
    <t>Use to compare rate, load factor, payload utilisation and truck class.</t>
  </si>
  <si>
    <t>Vehicle Classes</t>
  </si>
  <si>
    <t>Assumptions for vans, rigid trucks, articulated 40t/44t and EMS/high-capacity 60t scenarios.</t>
  </si>
  <si>
    <t>Tax Rules</t>
  </si>
  <si>
    <t>Country defaults for VAT, corporate tax, local/trade tax, payroll contribution and vehicle tax placeholder.</t>
  </si>
  <si>
    <t>Cascade Lists / Dropdown Helper</t>
  </si>
  <si>
    <t>Technical support sheets for dropdowns. Modify only if adding new countries or company forms.</t>
  </si>
  <si>
    <t>Important</t>
  </si>
  <si>
    <t>Replace default tax and truck-cost assumptions with accountant/tax-advisor and fleet-quote confirmed values before commercial use.</t>
  </si>
  <si>
    <t>Model logic</t>
  </si>
  <si>
    <t>Operational break-even is separated from commercial pricing and tax treatment.</t>
  </si>
  <si>
    <t>Break-even</t>
  </si>
  <si>
    <t>Total annual cost / loaded revenue km.</t>
  </si>
  <si>
    <t>Break-even €/loaded km × selected markup percentage.</t>
  </si>
  <si>
    <t>VAT</t>
  </si>
  <si>
    <t>Invoice/cash layer only, not revenue or profit.</t>
  </si>
  <si>
    <t>Business tax</t>
  </si>
  <si>
    <t>Applied to positive EBIT in the pricing sheet.</t>
  </si>
  <si>
    <t>Loaded revenue km / annual total km. Empty km still cost money but do not create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</si>
</sst>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€0.000"/>
    <numFmt numFmtId="165" formatCode="\€#,##0"/>
    <numFmt numFmtId="166" formatCode="0.0%"/>
    <numFmt numFmtId="167" formatCode="0.000"/>
  </numFmts>
  <fonts count="9">
    <font>
      <sz val="11"/>
      <name val="Carlito"/>
    </font>
    <font>
      <b/>
      <sz val="16"/>
      <color rgb="FFFFFFFF"/>
      <name val="Carlito"/>
    </font>
    <font>
      <sz val="11"/>
      <color rgb="FF111827"/>
      <name val="Carlito"/>
    </font>
    <font>
      <b/>
      <sz val="11"/>
      <color rgb="FFFFFFFF"/>
      <name val="Carlito"/>
    </font>
    <font>
      <b/>
      <sz val="11"/>
      <color rgb="FF065F46"/>
      <name val="Carlito"/>
    </font>
    <font>
      <b/>
      <sz val="11"/>
      <color rgb="FF15803D"/>
      <name val="Carlito"/>
    </font>
    <font>
      <sz val="11"/>
      <color rgb="FF1D4ED8"/>
      <name val="Carlito"/>
    </font>
    <font>
      <b/>
      <sz val="11"/>
      <color rgb="FF111827"/>
      <name val="Carlito"/>
    </font>
    <font>
      <b/>
      <sz val="11"/>
      <color rgb="FF1D4ED8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D1FAE5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E0F2F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46">
    <xf numFmtId="0" fontId="0" fillId="0" borderId="0" xfId="0" applyBorder="1"/>
    <xf numFmtId="0" fontId="2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wrapText="1"/>
    </xf>
    <xf numFmtId="0" fontId="0" fillId="3" borderId="2" xfId="0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5" fillId="6" borderId="2" xfId="0" applyFont="1" applyFill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6" fillId="8" borderId="2" xfId="0" applyFont="1" applyFill="1" applyBorder="1" applyAlignment="1">
      <alignment wrapText="1"/>
    </xf>
    <xf numFmtId="3" fontId="0" fillId="3" borderId="2" xfId="0" applyNumberFormat="1" applyFill="1" applyBorder="1" applyAlignment="1">
      <alignment wrapText="1"/>
    </xf>
    <xf numFmtId="164" fontId="5" fillId="6" borderId="2" xfId="0" applyNumberFormat="1" applyFont="1" applyFill="1" applyBorder="1" applyAlignment="1">
      <alignment wrapText="1"/>
    </xf>
    <xf numFmtId="10" fontId="5" fillId="6" borderId="2" xfId="0" applyNumberFormat="1" applyFont="1" applyFill="1" applyBorder="1" applyAlignment="1">
      <alignment wrapText="1"/>
    </xf>
    <xf numFmtId="0" fontId="7" fillId="3" borderId="2" xfId="0" applyFont="1" applyFill="1" applyBorder="1" applyAlignment="1">
      <alignment horizontal="center" wrapText="1"/>
    </xf>
    <xf numFmtId="10" fontId="6" fillId="8" borderId="2" xfId="0" applyNumberFormat="1" applyFont="1" applyFill="1" applyBorder="1" applyAlignment="1">
      <alignment wrapText="1"/>
    </xf>
    <xf numFmtId="165" fontId="6" fillId="8" borderId="2" xfId="0" applyNumberFormat="1" applyFont="1" applyFill="1" applyBorder="1" applyAlignment="1">
      <alignment wrapText="1"/>
    </xf>
    <xf numFmtId="165" fontId="5" fillId="6" borderId="2" xfId="0" applyNumberFormat="1" applyFont="1" applyFill="1" applyBorder="1" applyAlignment="1">
      <alignment wrapText="1"/>
    </xf>
    <xf numFmtId="0" fontId="1" fillId="4" borderId="2" xfId="0" applyFont="1" applyFill="1" applyBorder="1" applyAlignment="1">
      <alignment horizontal="center" wrapText="1"/>
    </xf>
    <xf numFmtId="10" fontId="2" fillId="7" borderId="2" xfId="0" applyNumberFormat="1" applyFont="1" applyFill="1" applyBorder="1" applyAlignment="1">
      <alignment wrapText="1"/>
    </xf>
    <xf numFmtId="4" fontId="6" fillId="8" borderId="2" xfId="0" applyNumberFormat="1" applyFont="1" applyFill="1" applyBorder="1" applyAlignment="1">
      <alignment wrapText="1"/>
    </xf>
    <xf numFmtId="3" fontId="6" fillId="8" borderId="2" xfId="0" applyNumberFormat="1" applyFont="1" applyFill="1" applyBorder="1" applyAlignment="1">
      <alignment wrapText="1"/>
    </xf>
    <xf numFmtId="0" fontId="8" fillId="8" borderId="2" xfId="0" applyFont="1" applyFill="1" applyBorder="1" applyAlignment="1">
      <alignment wrapText="1"/>
    </xf>
    <xf numFmtId="0" fontId="7" fillId="3" borderId="2" xfId="0" applyFont="1" applyFill="1" applyBorder="1" applyAlignment="1">
      <alignment wrapText="1"/>
    </xf>
    <xf numFmtId="164" fontId="6" fillId="8" borderId="2" xfId="0" applyNumberFormat="1" applyFont="1" applyFill="1" applyBorder="1" applyAlignment="1">
      <alignment wrapText="1"/>
    </xf>
    <xf numFmtId="10" fontId="4" fillId="5" borderId="2" xfId="0" applyNumberFormat="1" applyFont="1" applyFill="1" applyBorder="1" applyAlignment="1">
      <alignment wrapText="1"/>
    </xf>
    <xf numFmtId="164" fontId="2" fillId="7" borderId="2" xfId="0" applyNumberFormat="1" applyFont="1" applyFill="1" applyBorder="1" applyAlignment="1">
      <alignment wrapText="1"/>
    </xf>
    <xf numFmtId="2" fontId="6" fillId="8" borderId="2" xfId="0" applyNumberFormat="1" applyFont="1" applyFill="1" applyBorder="1" applyAlignment="1">
      <alignment wrapText="1"/>
    </xf>
    <xf numFmtId="3" fontId="2" fillId="7" borderId="2" xfId="0" applyNumberFormat="1" applyFont="1" applyFill="1" applyBorder="1" applyAlignment="1">
      <alignment wrapText="1"/>
    </xf>
    <xf numFmtId="167" fontId="2" fillId="7" borderId="2" xfId="0" applyNumberFormat="1" applyFont="1" applyFill="1" applyBorder="1" applyAlignment="1">
      <alignment wrapText="1"/>
    </xf>
    <xf numFmtId="165" fontId="2" fillId="7" borderId="2" xfId="0" applyNumberFormat="1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2" fillId="7" borderId="2" xfId="0" applyFont="1" applyFill="1" applyBorder="1" applyAlignment="1" applyProtection="1">
      <alignment wrapText="1"/>
      <protection locked="0"/>
    </xf>
    <xf numFmtId="4" fontId="2" fillId="7" borderId="2" xfId="0" applyNumberFormat="1" applyFont="1" applyFill="1" applyBorder="1" applyAlignment="1" applyProtection="1">
      <alignment wrapText="1"/>
      <protection locked="0"/>
    </xf>
    <xf numFmtId="10" fontId="2" fillId="7" borderId="2" xfId="0" applyNumberFormat="1" applyFont="1" applyFill="1" applyBorder="1" applyAlignment="1" applyProtection="1">
      <alignment wrapText="1"/>
      <protection locked="0"/>
    </xf>
    <xf numFmtId="166" fontId="2" fillId="7" borderId="2" xfId="0" applyNumberFormat="1" applyFont="1" applyFill="1" applyBorder="1" applyAlignment="1" applyProtection="1">
      <alignment wrapText="1"/>
      <protection locked="0"/>
    </xf>
    <xf numFmtId="0" fontId="0" fillId="0" borderId="0" xfId="0" applyBorder="1" applyAlignment="1" applyProtection="1">
      <alignment wrapText="1"/>
      <protection locked="0"/>
    </xf>
    <xf numFmtId="164" fontId="3" fillId="4" borderId="2" xfId="0" applyNumberFormat="1" applyFont="1" applyFill="1" applyBorder="1" applyAlignment="1" applyProtection="1">
      <alignment horizontal="center" wrapText="1"/>
      <protection locked="0"/>
    </xf>
    <xf numFmtId="166" fontId="0" fillId="0" borderId="0" xfId="0" applyNumberFormat="1" applyBorder="1" applyAlignment="1" applyProtection="1">
      <alignment wrapText="1"/>
      <protection locked="0"/>
    </xf>
    <xf numFmtId="164" fontId="0" fillId="0" borderId="0" xfId="0" applyNumberFormat="1" applyBorder="1" applyAlignment="1" applyProtection="1">
      <alignment wrapText="1"/>
      <protection locked="0"/>
    </xf>
    <xf numFmtId="2" fontId="2" fillId="7" borderId="2" xfId="0" applyNumberFormat="1" applyFont="1" applyFill="1" applyBorder="1" applyAlignment="1" applyProtection="1">
      <alignment wrapText="1"/>
      <protection locked="0"/>
    </xf>
    <xf numFmtId="3" fontId="2" fillId="7" borderId="2" xfId="0" applyNumberFormat="1" applyFont="1" applyFill="1" applyBorder="1" applyAlignment="1" applyProtection="1">
      <alignment wrapText="1"/>
      <protection locked="0"/>
    </xf>
    <xf numFmtId="167" fontId="2" fillId="7" borderId="2" xfId="0" applyNumberFormat="1" applyFont="1" applyFill="1" applyBorder="1" applyAlignment="1" applyProtection="1">
      <alignment wrapText="1"/>
      <protection locked="0"/>
    </xf>
    <xf numFmtId="165" fontId="2" fillId="7" borderId="2" xfId="0" applyNumberFormat="1" applyFont="1" applyFill="1" applyBorder="1" applyAlignment="1" applyProtection="1">
      <alignment wrapText="1"/>
      <protection locked="0"/>
    </xf>
    <xf numFmtId="0" fontId="2" fillId="3" borderId="2" xfId="0" applyFont="1" applyFill="1" applyBorder="1" applyAlignment="1" applyProtection="1">
      <alignment wrapText="1"/>
      <protection locked="0"/>
    </xf>
    <xf numFmtId="0" fontId="1" fillId="2" borderId="1" xfId="0" applyFont="1" applyFill="1" applyAlignment="1">
      <alignment horizontal="center" wrapText="1"/>
    </xf>
    <xf numFmtId="0" fontId="0" fillId="0" borderId="1" xfId="0"/>
    <xf numFmtId="0" fontId="1" fillId="4" borderId="3" xfId="0" applyFont="1" applyFill="1" applyBorder="1" applyAlignment="1">
      <alignment horizont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topLeftCell="A2" workbookViewId="0">
      <selection activeCell="C14" sqref="C14"/>
    </sheetView>
  </sheetViews>
  <sheetFormatPr baseColWidth="10" defaultColWidth="8.83203125" defaultRowHeight="14"/>
  <cols>
    <col min="1" max="1" width="20" customWidth="1"/>
    <col min="2" max="2" width="33.1640625" bestFit="1" customWidth="1"/>
    <col min="3" max="3" width="22" bestFit="1" customWidth="1"/>
    <col min="4" max="4" width="11" bestFit="1" customWidth="1"/>
    <col min="5" max="5" width="26.33203125" bestFit="1" customWidth="1"/>
    <col min="6" max="6" width="17.1640625" bestFit="1" customWidth="1"/>
    <col min="7" max="7" width="19.83203125" bestFit="1" customWidth="1"/>
    <col min="8" max="8" width="18" customWidth="1"/>
  </cols>
  <sheetData>
    <row r="1" spans="1:8" ht="59" customHeight="1">
      <c r="A1" s="42" t="s">
        <v>0</v>
      </c>
      <c r="B1" s="43"/>
      <c r="C1" s="43"/>
      <c r="D1" s="43"/>
      <c r="E1" s="43"/>
      <c r="F1" s="43"/>
      <c r="G1" s="43"/>
      <c r="H1" s="43"/>
    </row>
    <row r="2" spans="1:8" ht="90">
      <c r="A2" s="1" t="s">
        <v>1</v>
      </c>
      <c r="B2" s="1" t="s">
        <v>2</v>
      </c>
      <c r="C2" s="1"/>
      <c r="D2" s="1"/>
      <c r="E2" s="1"/>
      <c r="F2" s="1"/>
      <c r="G2" s="1"/>
      <c r="H2" s="1"/>
    </row>
    <row r="3" spans="1:8" ht="15" customHeight="1">
      <c r="A3" s="28"/>
      <c r="B3" s="28"/>
      <c r="C3" s="28"/>
      <c r="D3" s="28"/>
      <c r="E3" s="28"/>
      <c r="F3" s="28"/>
      <c r="G3" s="28"/>
      <c r="H3" s="28"/>
    </row>
    <row r="4" spans="1:8" ht="15" customHeigh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8"/>
      <c r="G4" s="28"/>
      <c r="H4" s="28"/>
    </row>
    <row r="5" spans="1:8" ht="66" customHeight="1">
      <c r="A5" s="3">
        <v>1</v>
      </c>
      <c r="B5" s="3" t="s">
        <v>8</v>
      </c>
      <c r="C5" s="3" t="s">
        <v>9</v>
      </c>
      <c r="D5" s="3" t="s">
        <v>10</v>
      </c>
      <c r="E5" s="3" t="s">
        <v>11</v>
      </c>
      <c r="F5" s="28"/>
      <c r="G5" s="28"/>
      <c r="H5" s="28"/>
    </row>
    <row r="6" spans="1:8" ht="66" customHeight="1">
      <c r="A6" s="3">
        <v>2</v>
      </c>
      <c r="B6" s="3" t="s">
        <v>12</v>
      </c>
      <c r="C6" s="3" t="s">
        <v>13</v>
      </c>
      <c r="D6" s="3" t="s">
        <v>10</v>
      </c>
      <c r="E6" s="3" t="s">
        <v>14</v>
      </c>
      <c r="F6" s="28"/>
      <c r="G6" s="28"/>
      <c r="H6" s="28"/>
    </row>
    <row r="7" spans="1:8" ht="39.5" customHeight="1">
      <c r="A7" s="3">
        <v>3</v>
      </c>
      <c r="B7" s="3" t="s">
        <v>15</v>
      </c>
      <c r="C7" s="3" t="s">
        <v>16</v>
      </c>
      <c r="D7" s="3" t="s">
        <v>17</v>
      </c>
      <c r="E7" s="3" t="s">
        <v>18</v>
      </c>
      <c r="F7" s="28"/>
      <c r="G7" s="28"/>
      <c r="H7" s="28"/>
    </row>
    <row r="8" spans="1:8" ht="39.5" customHeight="1">
      <c r="A8" s="3">
        <v>4</v>
      </c>
      <c r="B8" s="3" t="s">
        <v>19</v>
      </c>
      <c r="C8" s="3" t="s">
        <v>20</v>
      </c>
      <c r="D8" s="3" t="s">
        <v>10</v>
      </c>
      <c r="E8" s="3" t="s">
        <v>21</v>
      </c>
      <c r="F8" s="28"/>
      <c r="G8" s="28"/>
      <c r="H8" s="28"/>
    </row>
    <row r="9" spans="1:8" ht="52.75" customHeight="1">
      <c r="A9" s="3">
        <v>5</v>
      </c>
      <c r="B9" s="3" t="s">
        <v>22</v>
      </c>
      <c r="C9" s="3" t="s">
        <v>23</v>
      </c>
      <c r="D9" s="3" t="s">
        <v>24</v>
      </c>
      <c r="E9" s="3" t="s">
        <v>25</v>
      </c>
      <c r="F9" s="28"/>
      <c r="G9" s="28"/>
      <c r="H9" s="28"/>
    </row>
    <row r="10" spans="1:8" ht="52.75" customHeight="1">
      <c r="A10" s="3">
        <v>6</v>
      </c>
      <c r="B10" s="3" t="s">
        <v>26</v>
      </c>
      <c r="C10" s="3" t="s">
        <v>27</v>
      </c>
      <c r="D10" s="3" t="s">
        <v>28</v>
      </c>
      <c r="E10" s="3" t="s">
        <v>29</v>
      </c>
      <c r="F10" s="28"/>
      <c r="G10" s="28"/>
      <c r="H10" s="28"/>
    </row>
    <row r="11" spans="1:8" ht="15" customHeight="1">
      <c r="A11" s="28"/>
      <c r="B11" s="28"/>
      <c r="C11" s="28"/>
      <c r="D11" s="28"/>
      <c r="E11" s="28"/>
      <c r="F11" s="28"/>
      <c r="G11" s="28"/>
      <c r="H11" s="28"/>
    </row>
    <row r="12" spans="1:8" ht="15" customHeight="1">
      <c r="A12" s="4" t="s">
        <v>30</v>
      </c>
      <c r="B12" s="4"/>
      <c r="C12" s="4"/>
      <c r="D12" s="4"/>
      <c r="E12" s="4"/>
      <c r="F12" s="4"/>
      <c r="G12" s="4"/>
      <c r="H12" s="4"/>
    </row>
    <row r="13" spans="1:8" ht="15" customHeight="1">
      <c r="A13" s="2" t="s">
        <v>31</v>
      </c>
      <c r="B13" s="2" t="s">
        <v>32</v>
      </c>
      <c r="C13" s="2" t="s">
        <v>33</v>
      </c>
      <c r="D13" s="2" t="s">
        <v>34</v>
      </c>
      <c r="E13" s="2" t="s">
        <v>35</v>
      </c>
      <c r="F13" s="2" t="s">
        <v>36</v>
      </c>
      <c r="G13" s="2" t="s">
        <v>37</v>
      </c>
      <c r="H13" s="2" t="s">
        <v>38</v>
      </c>
    </row>
    <row r="14" spans="1:8" ht="15" customHeight="1">
      <c r="A14" s="3" t="s">
        <v>39</v>
      </c>
      <c r="B14" s="3" t="str">
        <f>'Company &amp; Tax Profile'!$B$4</f>
        <v>Bulgaria</v>
      </c>
      <c r="C14" s="8">
        <f>Engine!$C$3</f>
        <v>113100.00000000001</v>
      </c>
      <c r="D14" s="8">
        <f>Engine!$C$31</f>
        <v>96474.300000000017</v>
      </c>
      <c r="E14" s="9">
        <f>Engine!$C$62</f>
        <v>1.5328576767201731</v>
      </c>
      <c r="F14" s="9">
        <f>'Pricing Scenarios'!$C$18</f>
        <v>1.7244648863101948</v>
      </c>
      <c r="G14" s="9">
        <f>'Company &amp; Tax Profile'!$C$36</f>
        <v>2.0693578635722338</v>
      </c>
      <c r="H14" s="10">
        <f>'Pricing Scenarios'!$C$45</f>
        <v>9.3333333333333254E-2</v>
      </c>
    </row>
    <row r="15" spans="1:8" ht="15" customHeight="1">
      <c r="A15" s="3" t="s">
        <v>40</v>
      </c>
      <c r="B15" s="3" t="str">
        <f>'Company &amp; Tax Profile'!$B$4</f>
        <v>Bulgaria</v>
      </c>
      <c r="C15" s="8">
        <f>Engine!$D$3</f>
        <v>98000</v>
      </c>
      <c r="D15" s="8">
        <f>Engine!$D$31</f>
        <v>78890</v>
      </c>
      <c r="E15" s="9">
        <f>Engine!$D$62</f>
        <v>1.667652805900621</v>
      </c>
      <c r="F15" s="9">
        <f>'Pricing Scenarios'!$D$18</f>
        <v>1.8761094066381987</v>
      </c>
      <c r="G15" s="9">
        <f>'Company &amp; Tax Profile'!$D$36</f>
        <v>2.2513312879658383</v>
      </c>
      <c r="H15" s="10">
        <f>'Pricing Scenarios'!$D$45</f>
        <v>9.3333333333333338E-2</v>
      </c>
    </row>
    <row r="16" spans="1:8" ht="15" customHeight="1">
      <c r="A16" s="28"/>
      <c r="B16" s="28"/>
      <c r="C16" s="28"/>
      <c r="D16" s="28"/>
      <c r="E16" s="28"/>
      <c r="F16" s="28"/>
      <c r="G16" s="28"/>
      <c r="H16" s="28"/>
    </row>
    <row r="17" spans="1:8" ht="15" customHeight="1">
      <c r="A17" s="4" t="s">
        <v>41</v>
      </c>
      <c r="B17" s="4"/>
      <c r="C17" s="28"/>
      <c r="D17" s="28"/>
      <c r="E17" s="28"/>
      <c r="F17" s="28"/>
      <c r="G17" s="28"/>
      <c r="H17" s="28"/>
    </row>
    <row r="18" spans="1:8" ht="15" customHeight="1">
      <c r="A18" s="6" t="s">
        <v>42</v>
      </c>
      <c r="B18" s="1" t="s">
        <v>43</v>
      </c>
      <c r="C18" s="28"/>
      <c r="D18" s="28"/>
      <c r="E18" s="28"/>
      <c r="F18" s="28"/>
      <c r="G18" s="28"/>
      <c r="H18" s="28"/>
    </row>
    <row r="19" spans="1:8" ht="15" customHeight="1">
      <c r="A19" s="7" t="s">
        <v>44</v>
      </c>
      <c r="B19" s="1" t="s">
        <v>45</v>
      </c>
      <c r="C19" s="28"/>
      <c r="D19" s="28"/>
      <c r="E19" s="28"/>
      <c r="F19" s="28"/>
      <c r="G19" s="28"/>
      <c r="H19" s="28"/>
    </row>
    <row r="20" spans="1:8" ht="15" customHeight="1">
      <c r="A20" s="5" t="s">
        <v>46</v>
      </c>
      <c r="B20" s="1" t="s">
        <v>47</v>
      </c>
      <c r="C20" s="28"/>
      <c r="D20" s="28"/>
      <c r="E20" s="28"/>
      <c r="F20" s="28"/>
      <c r="G20" s="28"/>
      <c r="H20" s="28"/>
    </row>
    <row r="21" spans="1:8" ht="15" customHeight="1">
      <c r="A21" s="1" t="s">
        <v>48</v>
      </c>
      <c r="B21" s="1" t="s">
        <v>49</v>
      </c>
      <c r="C21" s="28"/>
      <c r="D21" s="28"/>
      <c r="E21" s="28"/>
      <c r="F21" s="28"/>
      <c r="G21" s="28"/>
      <c r="H21" s="28"/>
    </row>
    <row r="22" spans="1:8" ht="15" customHeight="1">
      <c r="A22" s="28"/>
      <c r="B22" s="28"/>
      <c r="C22" s="28"/>
      <c r="D22" s="28"/>
      <c r="E22" s="28"/>
      <c r="F22" s="28"/>
      <c r="G22" s="28"/>
      <c r="H22" s="28"/>
    </row>
    <row r="23" spans="1:8" ht="52.75" customHeight="1">
      <c r="A23" s="1" t="s">
        <v>50</v>
      </c>
      <c r="B23" s="1" t="s">
        <v>51</v>
      </c>
      <c r="C23" s="1"/>
      <c r="D23" s="1"/>
      <c r="E23" s="1"/>
      <c r="F23" s="1"/>
      <c r="G23" s="1"/>
      <c r="H23" s="1"/>
    </row>
    <row r="24" spans="1:8" ht="52.75" customHeight="1">
      <c r="A24" s="1" t="s">
        <v>50</v>
      </c>
      <c r="B24" s="1" t="s">
        <v>52</v>
      </c>
      <c r="C24" s="1"/>
      <c r="D24" s="1"/>
      <c r="E24" s="1"/>
      <c r="F24" s="1"/>
      <c r="G24" s="1"/>
      <c r="H24" s="1"/>
    </row>
  </sheetData>
  <sheetProtection sheet="1" objects="1" scenarios="1" formatCells="0" formatColumns="0" formatRows="0" sort="0" autoFilter="0"/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showGridLines="0" topLeftCell="A4" workbookViewId="0">
      <selection activeCell="C36" sqref="C36"/>
    </sheetView>
  </sheetViews>
  <sheetFormatPr baseColWidth="10" defaultColWidth="8.83203125" defaultRowHeight="14"/>
  <cols>
    <col min="1" max="1" width="34" customWidth="1"/>
    <col min="2" max="3" width="24" customWidth="1"/>
    <col min="4" max="4" width="18" customWidth="1"/>
    <col min="5" max="5" width="72" customWidth="1"/>
  </cols>
  <sheetData>
    <row r="1" spans="1:5" ht="38.5" customHeight="1">
      <c r="A1" s="42" t="s">
        <v>53</v>
      </c>
      <c r="B1" s="43"/>
      <c r="C1" s="43"/>
      <c r="D1" s="43"/>
      <c r="E1" s="43"/>
    </row>
    <row r="2" spans="1:5" ht="15" customHeight="1">
      <c r="A2" s="28"/>
      <c r="B2" s="28"/>
      <c r="C2" s="28"/>
      <c r="D2" s="28"/>
      <c r="E2" s="28"/>
    </row>
    <row r="3" spans="1:5" ht="15" customHeight="1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</row>
    <row r="4" spans="1:5" ht="26.25" customHeight="1">
      <c r="A4" s="28" t="s">
        <v>59</v>
      </c>
      <c r="B4" s="29" t="s">
        <v>449</v>
      </c>
      <c r="C4" s="28" t="s">
        <v>61</v>
      </c>
      <c r="D4" s="28"/>
      <c r="E4" s="1" t="s">
        <v>62</v>
      </c>
    </row>
    <row r="5" spans="1:5" ht="26.25" customHeight="1">
      <c r="A5" s="28" t="s">
        <v>63</v>
      </c>
      <c r="B5" s="29" t="str">
        <f>IFERROR(INDEX('Tax Rules'!$L$2:$L$9,MATCH($B$4,'Tax Rules'!$A$2:$A$9,0)),"")</f>
        <v>EOOD/OOD</v>
      </c>
      <c r="C5" s="28" t="s">
        <v>64</v>
      </c>
      <c r="D5" s="28"/>
      <c r="E5" s="1" t="s">
        <v>65</v>
      </c>
    </row>
    <row r="6" spans="1:5" ht="26.25" customHeight="1">
      <c r="A6" s="28" t="s">
        <v>66</v>
      </c>
      <c r="B6" s="29" t="str">
        <f>IFERROR(INDEX('Tax Rules'!$M$2:$M$9,MATCH($B$4,'Tax Rules'!$A$2:$A$9,0)),"")</f>
        <v>Fleet operator</v>
      </c>
      <c r="C6" s="28" t="s">
        <v>67</v>
      </c>
      <c r="D6" s="28"/>
      <c r="E6" s="1" t="s">
        <v>68</v>
      </c>
    </row>
    <row r="7" spans="1:5" ht="26.25" customHeight="1">
      <c r="A7" s="28" t="s">
        <v>69</v>
      </c>
      <c r="B7" s="7" t="str">
        <f>IFERROR(INDEX('Tax Rules'!$C$2:$C$9,MATCH($B$4,'Tax Rules'!$A$2:$A$9,0)),"Yes")</f>
        <v>Yes</v>
      </c>
      <c r="C7" s="28" t="s">
        <v>70</v>
      </c>
      <c r="D7" s="28" t="s">
        <v>71</v>
      </c>
      <c r="E7" s="1" t="s">
        <v>72</v>
      </c>
    </row>
    <row r="8" spans="1:5" ht="15" customHeight="1">
      <c r="A8" s="28" t="s">
        <v>73</v>
      </c>
      <c r="B8" s="5" t="str">
        <f>IF(AND($B$4&lt;&gt;"",$B$5&lt;&gt;"",$B$6&lt;&gt;"",COUNTIFS('Cascade Lists'!$A:$A,$B$4,'Cascade Lists'!$B:$B,$B$5,'Cascade Lists'!$C:$C,$B$6)&gt;0),"Valid cascade","Reselect company type / business model")</f>
        <v>Valid cascade</v>
      </c>
      <c r="C8" s="28" t="s">
        <v>74</v>
      </c>
      <c r="D8" s="28"/>
      <c r="E8" s="1" t="s">
        <v>75</v>
      </c>
    </row>
    <row r="9" spans="1:5" ht="15" customHeight="1">
      <c r="A9" s="28" t="s">
        <v>76</v>
      </c>
      <c r="B9" s="12">
        <f>IFERROR(INDEX('Tax Rules'!$D$2:$D$9,MATCH($B$4,'Tax Rules'!$A$2:$A$9,0)),0)</f>
        <v>0.2</v>
      </c>
      <c r="C9" s="28" t="s">
        <v>77</v>
      </c>
      <c r="D9" s="28" t="s">
        <v>78</v>
      </c>
      <c r="E9" s="1" t="s">
        <v>79</v>
      </c>
    </row>
    <row r="10" spans="1:5" ht="15" customHeight="1">
      <c r="A10" s="28" t="s">
        <v>80</v>
      </c>
      <c r="B10" s="12">
        <f>IFERROR(INDEX('Tax Rules'!$E$2:$E$9,MATCH($B$4,'Tax Rules'!$A$2:$A$9,0)),0)</f>
        <v>0.1</v>
      </c>
      <c r="C10" s="28" t="s">
        <v>77</v>
      </c>
      <c r="D10" s="28" t="s">
        <v>78</v>
      </c>
      <c r="E10" s="1" t="s">
        <v>81</v>
      </c>
    </row>
    <row r="11" spans="1:5" ht="15" customHeight="1">
      <c r="A11" s="28" t="s">
        <v>82</v>
      </c>
      <c r="B11" s="12">
        <f>IFERROR(INDEX('Tax Rules'!$F$2:$F$9,MATCH($B$4,'Tax Rules'!$A$2:$A$9,0)),0)</f>
        <v>0</v>
      </c>
      <c r="C11" s="28" t="s">
        <v>77</v>
      </c>
      <c r="D11" s="28" t="s">
        <v>78</v>
      </c>
      <c r="E11" s="1" t="s">
        <v>83</v>
      </c>
    </row>
    <row r="12" spans="1:5" ht="15" customHeight="1">
      <c r="A12" s="28" t="s">
        <v>84</v>
      </c>
      <c r="B12" s="12">
        <f>MIN(MAX($B$10+$B$11,0),1)</f>
        <v>0.1</v>
      </c>
      <c r="C12" s="28" t="s">
        <v>85</v>
      </c>
      <c r="D12" s="28" t="s">
        <v>78</v>
      </c>
      <c r="E12" s="1" t="s">
        <v>86</v>
      </c>
    </row>
    <row r="13" spans="1:5" ht="15" customHeight="1">
      <c r="A13" s="28" t="s">
        <v>87</v>
      </c>
      <c r="B13" s="12">
        <f>IFERROR(INDEX('Tax Rules'!$K$2:$K$9,MATCH($B$4,'Tax Rules'!$A$2:$A$9,0)),0.1)</f>
        <v>0.1</v>
      </c>
      <c r="C13" s="28" t="s">
        <v>88</v>
      </c>
      <c r="D13" s="28" t="s">
        <v>78</v>
      </c>
      <c r="E13" s="1" t="s">
        <v>89</v>
      </c>
    </row>
    <row r="14" spans="1:5" ht="15" customHeight="1">
      <c r="A14" s="28" t="s">
        <v>90</v>
      </c>
      <c r="B14" s="12">
        <f>IFERROR(INDEX('Tax Rules'!$H$2:$H$9,MATCH($B$4,'Tax Rules'!$A$2:$A$9,0)),0)</f>
        <v>0.193</v>
      </c>
      <c r="C14" s="28" t="s">
        <v>77</v>
      </c>
      <c r="D14" s="28" t="s">
        <v>91</v>
      </c>
      <c r="E14" s="1" t="s">
        <v>92</v>
      </c>
    </row>
    <row r="15" spans="1:5" ht="15" customHeight="1">
      <c r="A15" s="28" t="s">
        <v>93</v>
      </c>
      <c r="B15" s="12">
        <f>IFERROR(INDEX('Tax Rules'!$I$2:$I$9,MATCH($B$4,'Tax Rules'!$A$2:$A$9,0)),0)</f>
        <v>0.13780000000000001</v>
      </c>
      <c r="C15" s="28" t="s">
        <v>94</v>
      </c>
      <c r="D15" s="28" t="s">
        <v>91</v>
      </c>
      <c r="E15" s="1" t="s">
        <v>95</v>
      </c>
    </row>
    <row r="16" spans="1:5" ht="15" customHeight="1">
      <c r="A16" s="28" t="s">
        <v>96</v>
      </c>
      <c r="B16" s="13">
        <f>IFERROR(INDEX('Tax Rules'!$J$2:$J$9,MATCH($B$4,'Tax Rules'!$A$2:$A$9,0)),0)</f>
        <v>400</v>
      </c>
      <c r="C16" s="28" t="s">
        <v>77</v>
      </c>
      <c r="D16" s="28" t="s">
        <v>97</v>
      </c>
      <c r="E16" s="1" t="s">
        <v>98</v>
      </c>
    </row>
    <row r="17" spans="1:5" ht="15" customHeight="1">
      <c r="A17" s="28" t="s">
        <v>99</v>
      </c>
      <c r="B17" s="7" t="str">
        <f>IFERROR(INDEX('Tax Rules'!$B$2:$B$9,MATCH($B$4,'Tax Rules'!$A$2:$A$9,0)),"EUR")</f>
        <v>BGN/EUR</v>
      </c>
      <c r="C17" s="28" t="s">
        <v>77</v>
      </c>
      <c r="D17" s="28"/>
      <c r="E17" s="1" t="s">
        <v>100</v>
      </c>
    </row>
    <row r="18" spans="1:5" ht="15" customHeight="1">
      <c r="A18" s="28" t="s">
        <v>101</v>
      </c>
      <c r="B18" s="7" t="str">
        <f>IFERROR(INDEX('Tax Rules'!$R$2:$R$9,MATCH($B$4,'Tax Rules'!$A$2:$A$9,0)),"")</f>
        <v>2026-05</v>
      </c>
      <c r="C18" s="28" t="s">
        <v>77</v>
      </c>
      <c r="D18" s="28"/>
      <c r="E18" s="1" t="s">
        <v>102</v>
      </c>
    </row>
    <row r="19" spans="1:5" ht="105.5" customHeight="1">
      <c r="A19" s="28" t="s">
        <v>103</v>
      </c>
      <c r="B19" s="7" t="str">
        <f>IFERROR(INDEX('Tax Rules'!$N$2:$N$9,MATCH($B$4,'Tax Rules'!$A$2:$A$9,0)),"")</f>
        <v>Flat 10% CIT used. Employer contribution uses mid-point of published 2026 range; actual rate depends on activity class and caps. No provincial/local corporate income tax.</v>
      </c>
      <c r="C19" s="28" t="s">
        <v>77</v>
      </c>
      <c r="D19" s="28"/>
      <c r="E19" s="1" t="s">
        <v>104</v>
      </c>
    </row>
    <row r="20" spans="1:5" ht="15" customHeight="1">
      <c r="A20" s="28"/>
      <c r="B20" s="28"/>
      <c r="C20" s="28"/>
      <c r="D20" s="28"/>
      <c r="E20" s="1"/>
    </row>
    <row r="21" spans="1:5" ht="15" customHeight="1">
      <c r="A21" s="28"/>
      <c r="B21" s="28"/>
      <c r="C21" s="28"/>
      <c r="D21" s="28"/>
      <c r="E21" s="1"/>
    </row>
    <row r="22" spans="1:5" ht="15" customHeight="1">
      <c r="A22" s="2" t="s">
        <v>105</v>
      </c>
      <c r="B22" s="2"/>
      <c r="C22" s="2" t="s">
        <v>106</v>
      </c>
      <c r="D22" s="2" t="s">
        <v>40</v>
      </c>
      <c r="E22" s="11" t="s">
        <v>107</v>
      </c>
    </row>
    <row r="23" spans="1:5" ht="15" customHeight="1">
      <c r="A23" s="28" t="s">
        <v>69</v>
      </c>
      <c r="B23" s="28"/>
      <c r="C23" s="7" t="str">
        <f>$B$7</f>
        <v>Yes</v>
      </c>
      <c r="D23" s="7" t="str">
        <f>$B$7</f>
        <v>Yes</v>
      </c>
      <c r="E23" s="1" t="s">
        <v>108</v>
      </c>
    </row>
    <row r="24" spans="1:5" ht="15" customHeight="1">
      <c r="A24" s="28" t="s">
        <v>76</v>
      </c>
      <c r="B24" s="28"/>
      <c r="C24" s="12">
        <f>$B$9</f>
        <v>0.2</v>
      </c>
      <c r="D24" s="12">
        <f>$B$9</f>
        <v>0.2</v>
      </c>
      <c r="E24" s="1"/>
    </row>
    <row r="25" spans="1:5" ht="15" customHeight="1">
      <c r="A25" s="28" t="s">
        <v>80</v>
      </c>
      <c r="B25" s="28"/>
      <c r="C25" s="12">
        <f>$B$10</f>
        <v>0.1</v>
      </c>
      <c r="D25" s="12">
        <f>$B$10</f>
        <v>0.1</v>
      </c>
      <c r="E25" s="1" t="s">
        <v>108</v>
      </c>
    </row>
    <row r="26" spans="1:5" ht="15" customHeight="1">
      <c r="A26" s="28" t="s">
        <v>82</v>
      </c>
      <c r="B26" s="28"/>
      <c r="C26" s="12">
        <f>$B$11</f>
        <v>0</v>
      </c>
      <c r="D26" s="12">
        <f>$B$11</f>
        <v>0</v>
      </c>
      <c r="E26" s="1" t="s">
        <v>108</v>
      </c>
    </row>
    <row r="27" spans="1:5" ht="15" customHeight="1">
      <c r="A27" s="28" t="s">
        <v>84</v>
      </c>
      <c r="B27" s="28"/>
      <c r="C27" s="12">
        <f>$B$12</f>
        <v>0.1</v>
      </c>
      <c r="D27" s="12">
        <f>$B$12</f>
        <v>0.1</v>
      </c>
      <c r="E27" s="1" t="s">
        <v>109</v>
      </c>
    </row>
    <row r="28" spans="1:5" ht="15" customHeight="1">
      <c r="A28" s="28" t="s">
        <v>87</v>
      </c>
      <c r="B28" s="28"/>
      <c r="C28" s="12">
        <f>$B$13</f>
        <v>0.1</v>
      </c>
      <c r="D28" s="12">
        <f>$B$13</f>
        <v>0.1</v>
      </c>
      <c r="E28" s="1" t="s">
        <v>108</v>
      </c>
    </row>
    <row r="29" spans="1:5" ht="15" customHeight="1">
      <c r="A29" s="28" t="s">
        <v>110</v>
      </c>
      <c r="B29" s="28"/>
      <c r="C29" s="29">
        <v>1</v>
      </c>
      <c r="D29" s="29">
        <v>1</v>
      </c>
      <c r="E29" s="1" t="s">
        <v>111</v>
      </c>
    </row>
    <row r="30" spans="1:5" ht="15" customHeight="1">
      <c r="A30" s="28" t="s">
        <v>112</v>
      </c>
      <c r="B30" s="28"/>
      <c r="C30" s="7">
        <f>Inputs!C23</f>
        <v>1.0640000000000001</v>
      </c>
      <c r="D30" s="7">
        <f>Inputs!D23</f>
        <v>1.085</v>
      </c>
      <c r="E30" s="1" t="s">
        <v>113</v>
      </c>
    </row>
    <row r="31" spans="1:5" ht="15" customHeight="1">
      <c r="A31" s="28" t="s">
        <v>114</v>
      </c>
      <c r="B31" s="28"/>
      <c r="C31" s="7">
        <f>C29*C30</f>
        <v>1.0640000000000001</v>
      </c>
      <c r="D31" s="7">
        <f>D29*D30</f>
        <v>1.085</v>
      </c>
      <c r="E31" s="1" t="s">
        <v>85</v>
      </c>
    </row>
    <row r="32" spans="1:5" ht="15" customHeight="1">
      <c r="A32" s="28" t="s">
        <v>115</v>
      </c>
      <c r="B32" s="28"/>
      <c r="C32" s="7">
        <f>$B$14</f>
        <v>0.193</v>
      </c>
      <c r="D32" s="7">
        <f>$B$14</f>
        <v>0.193</v>
      </c>
      <c r="E32" s="1" t="s">
        <v>116</v>
      </c>
    </row>
    <row r="33" spans="1:5" ht="15" customHeight="1">
      <c r="A33" s="28" t="s">
        <v>117</v>
      </c>
      <c r="B33" s="28"/>
      <c r="C33" s="7">
        <f>$B$16</f>
        <v>400</v>
      </c>
      <c r="D33" s="7">
        <f>$B$16</f>
        <v>400</v>
      </c>
      <c r="E33" s="1" t="s">
        <v>118</v>
      </c>
    </row>
    <row r="34" spans="1:5" ht="15" customHeight="1">
      <c r="A34" s="28" t="s">
        <v>119</v>
      </c>
      <c r="B34" s="28"/>
      <c r="C34" s="7" t="s">
        <v>120</v>
      </c>
      <c r="D34" s="7" t="s">
        <v>120</v>
      </c>
      <c r="E34" s="1" t="s">
        <v>121</v>
      </c>
    </row>
    <row r="35" spans="1:5" ht="15" customHeight="1">
      <c r="A35" s="28" t="s">
        <v>122</v>
      </c>
      <c r="B35" s="28" t="s">
        <v>123</v>
      </c>
      <c r="C35" s="9">
        <f>'Pricing Scenarios'!C18</f>
        <v>1.7244648863101948</v>
      </c>
      <c r="D35" s="9">
        <f>'Pricing Scenarios'!D18</f>
        <v>1.8761094066381987</v>
      </c>
      <c r="E35" s="1" t="s">
        <v>124</v>
      </c>
    </row>
    <row r="36" spans="1:5" ht="15" customHeight="1">
      <c r="A36" s="28" t="s">
        <v>125</v>
      </c>
      <c r="B36" s="28" t="s">
        <v>123</v>
      </c>
      <c r="C36" s="9">
        <f>IF(C23="Yes",C35*(1+C24),C35)</f>
        <v>2.0693578635722338</v>
      </c>
      <c r="D36" s="9">
        <f>IF(D23="Yes",D35*(1+D24),D35)</f>
        <v>2.2513312879658383</v>
      </c>
      <c r="E36" s="1" t="s">
        <v>126</v>
      </c>
    </row>
    <row r="37" spans="1:5" ht="15" customHeight="1">
      <c r="A37" s="28" t="s">
        <v>127</v>
      </c>
      <c r="B37" s="28" t="s">
        <v>128</v>
      </c>
      <c r="C37" s="5">
        <f>Engine!C31</f>
        <v>96474.300000000017</v>
      </c>
      <c r="D37" s="5">
        <f>Engine!D31</f>
        <v>78890</v>
      </c>
      <c r="E37" s="1" t="s">
        <v>129</v>
      </c>
    </row>
    <row r="38" spans="1:5" ht="15" customHeight="1">
      <c r="A38" s="28" t="s">
        <v>130</v>
      </c>
      <c r="B38" s="28" t="s">
        <v>97</v>
      </c>
      <c r="C38" s="14">
        <f>C35*C37</f>
        <v>166366.54278135565</v>
      </c>
      <c r="D38" s="14">
        <f>D35*D37</f>
        <v>148006.27108968751</v>
      </c>
      <c r="E38" s="1" t="s">
        <v>131</v>
      </c>
    </row>
    <row r="39" spans="1:5" ht="15" customHeight="1">
      <c r="A39" s="28" t="s">
        <v>132</v>
      </c>
      <c r="B39" s="28" t="s">
        <v>97</v>
      </c>
      <c r="C39" s="14">
        <f>IF(C23="Yes",C38*C24,0)</f>
        <v>33273.308556271128</v>
      </c>
      <c r="D39" s="14">
        <f>IF(D23="Yes",D38*D24,0)</f>
        <v>29601.254217937501</v>
      </c>
      <c r="E39" s="1" t="s">
        <v>133</v>
      </c>
    </row>
    <row r="40" spans="1:5" ht="15" customHeight="1">
      <c r="A40" s="28" t="s">
        <v>134</v>
      </c>
      <c r="B40" s="28" t="s">
        <v>97</v>
      </c>
      <c r="C40" s="14">
        <f>C38+C39</f>
        <v>199639.85133762678</v>
      </c>
      <c r="D40" s="14">
        <f>D38+D39</f>
        <v>177607.52530762501</v>
      </c>
      <c r="E40" s="1" t="s">
        <v>135</v>
      </c>
    </row>
    <row r="41" spans="1:5" ht="15" customHeight="1">
      <c r="A41" s="28" t="s">
        <v>136</v>
      </c>
      <c r="B41" s="28" t="s">
        <v>97</v>
      </c>
      <c r="C41" s="14">
        <f>C38-Engine!C60</f>
        <v>18485.171420150611</v>
      </c>
      <c r="D41" s="14">
        <f>D38-Engine!D60</f>
        <v>16445.14123218751</v>
      </c>
      <c r="E41" s="1" t="s">
        <v>137</v>
      </c>
    </row>
    <row r="42" spans="1:5" ht="15" customHeight="1">
      <c r="A42" s="28" t="s">
        <v>138</v>
      </c>
      <c r="B42" s="28"/>
      <c r="C42" s="14">
        <f>MAX(0,C41)*C27</f>
        <v>1848.5171420150612</v>
      </c>
      <c r="D42" s="14">
        <f>MAX(0,D41)*D27</f>
        <v>1644.5141232187511</v>
      </c>
      <c r="E42" s="1"/>
    </row>
    <row r="43" spans="1:5" ht="15" customHeight="1">
      <c r="A43" s="28" t="s">
        <v>139</v>
      </c>
      <c r="B43" s="28" t="s">
        <v>97</v>
      </c>
      <c r="C43" s="14">
        <f>C41-C42</f>
        <v>16636.654278135549</v>
      </c>
      <c r="D43" s="14">
        <f>D41-D42</f>
        <v>14800.62710896876</v>
      </c>
      <c r="E43" s="1" t="s">
        <v>140</v>
      </c>
    </row>
    <row r="44" spans="1:5" ht="15" customHeight="1">
      <c r="A44" s="28" t="s">
        <v>141</v>
      </c>
      <c r="B44" s="28" t="s">
        <v>78</v>
      </c>
      <c r="C44" s="10">
        <f>IFERROR(C41/C38,0)</f>
        <v>0.11111111111111101</v>
      </c>
      <c r="D44" s="10">
        <f>IFERROR(D41/D38,0)</f>
        <v>0.11111111111111117</v>
      </c>
      <c r="E44" s="1" t="s">
        <v>142</v>
      </c>
    </row>
    <row r="45" spans="1:5" ht="15" customHeight="1">
      <c r="A45" s="28" t="s">
        <v>143</v>
      </c>
      <c r="B45" s="28" t="s">
        <v>78</v>
      </c>
      <c r="C45" s="10">
        <f>IFERROR(C43/C38,0)</f>
        <v>9.9999999999999908E-2</v>
      </c>
      <c r="D45" s="10">
        <f>IFERROR(D43/D38,0)</f>
        <v>0.10000000000000006</v>
      </c>
      <c r="E45" s="1" t="s">
        <v>144</v>
      </c>
    </row>
    <row r="46" spans="1:5" ht="15" customHeight="1">
      <c r="A46" s="28" t="s">
        <v>145</v>
      </c>
      <c r="B46" s="28" t="s">
        <v>97</v>
      </c>
      <c r="C46" s="9">
        <f>IFERROR(C38*C28/(1-C27),0)</f>
        <v>18485.171420150626</v>
      </c>
      <c r="D46" s="9">
        <f>IFERROR(D38*D28/(1-D27),0)</f>
        <v>16445.1412321875</v>
      </c>
      <c r="E46" s="1" t="s">
        <v>146</v>
      </c>
    </row>
    <row r="47" spans="1:5" ht="26.25" customHeight="1">
      <c r="A47" s="28" t="s">
        <v>147</v>
      </c>
      <c r="B47" s="28" t="s">
        <v>123</v>
      </c>
      <c r="C47" s="9">
        <f>IFERROR((Engine!C60+C46)/C37,0)</f>
        <v>1.724464886310195</v>
      </c>
      <c r="D47" s="9">
        <f>IFERROR((Engine!D60+D46)/D37,0)</f>
        <v>1.8761094066381989</v>
      </c>
      <c r="E47" s="1" t="s">
        <v>148</v>
      </c>
    </row>
  </sheetData>
  <sheetProtection sheet="1" objects="1" scenarios="1" formatCells="0" formatColumns="0" formatRows="0" sort="0" autoFilter="0"/>
  <mergeCells count="1">
    <mergeCell ref="A1:E1"/>
  </mergeCells>
  <dataValidations count="1">
    <dataValidation showInputMessage="1" promptTitle="Number of trucks" prompt="Enter the number of trucks in this profile." sqref="C29:D29" xr:uid="{00000000-0002-0000-01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showInputMessage="1" showErrorMessage="1" errorTitle="Invalid country" error="Choose a value from the list." promptTitle="Country / jurisdiction" prompt="Select the jurisdiction first. This drives default company and tax rules." xr:uid="{00000000-0002-0000-0100-000000000000}">
          <x14:formula1>
            <xm:f>'Dropdown Helper'!$A$2:$A$9</xm:f>
          </x14:formula1>
          <xm:sqref>B4</xm:sqref>
        </x14:dataValidation>
        <x14:dataValidation type="list" showInputMessage="1" promptTitle="Company type" prompt="Select a company type available for the chosen country." xr:uid="{00000000-0002-0000-0100-000001000000}">
          <x14:formula1>
            <xm:f>OFFSET('Dropdown Helper'!$B$1,MATCH($B$4,'Dropdown Helper'!$A$2:$A$9,0),0,1,5)</xm:f>
          </x14:formula1>
          <xm:sqref>B5</xm:sqref>
        </x14:dataValidation>
        <x14:dataValidation type="list" showInputMessage="1" promptTitle="Business model" prompt="Select the operating model." xr:uid="{00000000-0002-0000-0100-000002000000}">
          <x14:formula1>
            <xm:f>OFFSET('Dropdown Helper'!$H$1,MATCH($B$4,'Dropdown Helper'!$A$2:$A$9,0),0,1,5)</xm:f>
          </x14:formula1>
          <xm:sqref>B6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showGridLines="0" workbookViewId="0">
      <selection activeCell="C28" sqref="C28"/>
    </sheetView>
  </sheetViews>
  <sheetFormatPr baseColWidth="10" defaultColWidth="8.83203125" defaultRowHeight="14"/>
  <cols>
    <col min="1" max="1" width="34" customWidth="1"/>
    <col min="2" max="2" width="16" customWidth="1"/>
    <col min="3" max="4" width="20" customWidth="1"/>
    <col min="5" max="5" width="62" customWidth="1"/>
  </cols>
  <sheetData>
    <row r="1" spans="1:5" ht="38.5" customHeight="1">
      <c r="A1" s="15" t="s">
        <v>149</v>
      </c>
      <c r="B1" s="15" t="s">
        <v>57</v>
      </c>
      <c r="C1" s="15" t="s">
        <v>39</v>
      </c>
      <c r="D1" s="15" t="s">
        <v>40</v>
      </c>
      <c r="E1" s="15" t="s">
        <v>150</v>
      </c>
    </row>
    <row r="2" spans="1:5" ht="26.25" customHeight="1">
      <c r="A2" s="28" t="s">
        <v>151</v>
      </c>
      <c r="B2" s="28" t="s">
        <v>152</v>
      </c>
      <c r="C2" s="30">
        <v>495.18388791593702</v>
      </c>
      <c r="D2" s="30">
        <v>421.50537634408602</v>
      </c>
      <c r="E2" s="1" t="s">
        <v>153</v>
      </c>
    </row>
    <row r="3" spans="1:5" ht="15" customHeight="1">
      <c r="A3" s="28" t="s">
        <v>154</v>
      </c>
      <c r="B3" s="28" t="s">
        <v>155</v>
      </c>
      <c r="C3" s="30">
        <v>228.4</v>
      </c>
      <c r="D3" s="30">
        <v>232.5</v>
      </c>
      <c r="E3" s="1" t="s">
        <v>156</v>
      </c>
    </row>
    <row r="4" spans="1:5" ht="15" customHeight="1">
      <c r="A4" s="28" t="s">
        <v>157</v>
      </c>
      <c r="B4" s="28" t="s">
        <v>155</v>
      </c>
      <c r="C4" s="30">
        <v>215.2</v>
      </c>
      <c r="D4" s="30">
        <v>214.6</v>
      </c>
      <c r="E4" s="1" t="s">
        <v>158</v>
      </c>
    </row>
    <row r="5" spans="1:5" ht="15" customHeight="1">
      <c r="A5" s="28" t="s">
        <v>159</v>
      </c>
      <c r="B5" s="28" t="s">
        <v>160</v>
      </c>
      <c r="C5" s="30">
        <v>2123</v>
      </c>
      <c r="D5" s="30">
        <v>2058</v>
      </c>
      <c r="E5" s="1" t="s">
        <v>161</v>
      </c>
    </row>
    <row r="6" spans="1:5" ht="15" customHeight="1">
      <c r="A6" s="28" t="s">
        <v>162</v>
      </c>
      <c r="B6" s="28" t="s">
        <v>163</v>
      </c>
      <c r="C6" s="30">
        <v>63.9</v>
      </c>
      <c r="D6" s="30">
        <v>62.5</v>
      </c>
      <c r="E6" s="1" t="s">
        <v>164</v>
      </c>
    </row>
    <row r="7" spans="1:5" ht="15" customHeight="1">
      <c r="A7" s="28" t="s">
        <v>165</v>
      </c>
      <c r="B7" s="28" t="s">
        <v>166</v>
      </c>
      <c r="C7" s="31">
        <v>0.85299999999999998</v>
      </c>
      <c r="D7" s="31">
        <v>0.80500000000000005</v>
      </c>
      <c r="E7" s="1" t="s">
        <v>167</v>
      </c>
    </row>
    <row r="8" spans="1:5" ht="15" customHeight="1">
      <c r="A8" s="28" t="s">
        <v>168</v>
      </c>
      <c r="B8" s="28" t="s">
        <v>169</v>
      </c>
      <c r="C8" s="31">
        <v>0.86799999999999999</v>
      </c>
      <c r="D8" s="31">
        <v>0.93899999999999995</v>
      </c>
      <c r="E8" s="1" t="s">
        <v>170</v>
      </c>
    </row>
    <row r="9" spans="1:5" ht="15" customHeight="1">
      <c r="A9" s="28" t="s">
        <v>171</v>
      </c>
      <c r="B9" s="28" t="s">
        <v>172</v>
      </c>
      <c r="C9" s="29">
        <v>3.3833333333</v>
      </c>
      <c r="D9" s="29">
        <v>3.4</v>
      </c>
      <c r="E9" s="1" t="s">
        <v>173</v>
      </c>
    </row>
    <row r="10" spans="1:5" ht="15" customHeight="1">
      <c r="A10" s="28" t="s">
        <v>174</v>
      </c>
      <c r="B10" s="28" t="s">
        <v>175</v>
      </c>
      <c r="C10" s="30">
        <v>34.200000000000003</v>
      </c>
      <c r="D10" s="30">
        <v>33.799999999999997</v>
      </c>
      <c r="E10" s="1" t="s">
        <v>176</v>
      </c>
    </row>
    <row r="11" spans="1:5" ht="15" customHeight="1">
      <c r="A11" s="28" t="s">
        <v>177</v>
      </c>
      <c r="B11" s="28" t="s">
        <v>178</v>
      </c>
      <c r="C11" s="30">
        <v>1.2655246250000001</v>
      </c>
      <c r="D11" s="30">
        <v>1.2655246250000001</v>
      </c>
      <c r="E11" s="1" t="s">
        <v>179</v>
      </c>
    </row>
    <row r="12" spans="1:5" ht="15" customHeight="1">
      <c r="A12" s="28" t="s">
        <v>180</v>
      </c>
      <c r="B12" s="28" t="s">
        <v>97</v>
      </c>
      <c r="C12" s="30">
        <v>3098</v>
      </c>
      <c r="D12" s="30">
        <v>3101</v>
      </c>
      <c r="E12" s="1"/>
    </row>
    <row r="13" spans="1:5" ht="15" customHeight="1">
      <c r="A13" s="28" t="s">
        <v>181</v>
      </c>
      <c r="B13" s="28" t="s">
        <v>97</v>
      </c>
      <c r="C13" s="30">
        <v>8221</v>
      </c>
      <c r="D13" s="30">
        <v>7278</v>
      </c>
      <c r="E13" s="1"/>
    </row>
    <row r="14" spans="1:5" ht="15" customHeight="1">
      <c r="A14" s="28" t="s">
        <v>182</v>
      </c>
      <c r="B14" s="28" t="s">
        <v>97</v>
      </c>
      <c r="C14" s="30">
        <v>8090</v>
      </c>
      <c r="D14" s="30">
        <v>5805</v>
      </c>
      <c r="E14" s="1"/>
    </row>
    <row r="15" spans="1:5" ht="15" customHeight="1">
      <c r="A15" s="28" t="s">
        <v>183</v>
      </c>
      <c r="B15" s="28" t="s">
        <v>97</v>
      </c>
      <c r="C15" s="30">
        <v>10793</v>
      </c>
      <c r="D15" s="30">
        <v>10934</v>
      </c>
      <c r="E15" s="1"/>
    </row>
    <row r="16" spans="1:5" ht="15" customHeight="1">
      <c r="A16" s="28" t="s">
        <v>184</v>
      </c>
      <c r="B16" s="28" t="s">
        <v>97</v>
      </c>
      <c r="C16" s="30">
        <v>3208</v>
      </c>
      <c r="D16" s="30">
        <v>3551</v>
      </c>
      <c r="E16" s="1"/>
    </row>
    <row r="17" spans="1:5" ht="15" customHeight="1">
      <c r="A17" s="28" t="s">
        <v>185</v>
      </c>
      <c r="B17" s="28" t="s">
        <v>97</v>
      </c>
      <c r="C17" s="30">
        <v>2198</v>
      </c>
      <c r="D17" s="30">
        <v>2598</v>
      </c>
      <c r="E17" s="1"/>
    </row>
    <row r="18" spans="1:5" ht="15" customHeight="1">
      <c r="A18" s="28" t="s">
        <v>186</v>
      </c>
      <c r="B18" s="28" t="s">
        <v>97</v>
      </c>
      <c r="C18" s="30">
        <v>477</v>
      </c>
      <c r="D18" s="30">
        <v>411</v>
      </c>
      <c r="E18" s="1"/>
    </row>
    <row r="19" spans="1:5" ht="26.25" customHeight="1">
      <c r="A19" s="28" t="s">
        <v>187</v>
      </c>
      <c r="B19" s="28" t="s">
        <v>97</v>
      </c>
      <c r="C19" s="17">
        <f>'Company &amp; Tax Profile'!$B$16</f>
        <v>400</v>
      </c>
      <c r="D19" s="17">
        <f>'Company &amp; Tax Profile'!$B$16</f>
        <v>400</v>
      </c>
      <c r="E19" s="1" t="s">
        <v>188</v>
      </c>
    </row>
    <row r="20" spans="1:5" ht="15" customHeight="1">
      <c r="A20" s="28" t="s">
        <v>189</v>
      </c>
      <c r="B20" s="28" t="s">
        <v>190</v>
      </c>
      <c r="C20" s="30">
        <v>2348.7199999999998</v>
      </c>
      <c r="D20" s="30">
        <v>2182.15</v>
      </c>
      <c r="E20" s="1"/>
    </row>
    <row r="21" spans="1:5" ht="15" customHeight="1">
      <c r="A21" s="28" t="s">
        <v>191</v>
      </c>
      <c r="B21" s="28" t="s">
        <v>78</v>
      </c>
      <c r="C21" s="17">
        <f>'Company &amp; Tax Profile'!$B$14</f>
        <v>0.193</v>
      </c>
      <c r="D21" s="17">
        <f>'Company &amp; Tax Profile'!$B$14</f>
        <v>0.193</v>
      </c>
      <c r="E21" s="1" t="s">
        <v>192</v>
      </c>
    </row>
    <row r="22" spans="1:5" ht="15" customHeight="1">
      <c r="A22" s="28" t="s">
        <v>193</v>
      </c>
      <c r="B22" s="28" t="s">
        <v>194</v>
      </c>
      <c r="C22" s="30">
        <v>38.36</v>
      </c>
      <c r="D22" s="30">
        <v>16.53</v>
      </c>
      <c r="E22" s="1"/>
    </row>
    <row r="23" spans="1:5" ht="15" customHeight="1">
      <c r="A23" s="28" t="s">
        <v>195</v>
      </c>
      <c r="B23" s="28" t="s">
        <v>196</v>
      </c>
      <c r="C23" s="30">
        <v>1.0640000000000001</v>
      </c>
      <c r="D23" s="30">
        <v>1.085</v>
      </c>
      <c r="E23" s="1"/>
    </row>
    <row r="24" spans="1:5" ht="15" customHeight="1">
      <c r="A24" s="28" t="s">
        <v>197</v>
      </c>
      <c r="B24" s="28" t="s">
        <v>97</v>
      </c>
      <c r="C24" s="30">
        <v>17886</v>
      </c>
      <c r="D24" s="30">
        <v>17820</v>
      </c>
      <c r="E24" s="1"/>
    </row>
    <row r="25" spans="1:5" ht="15" customHeight="1">
      <c r="A25" s="28" t="s">
        <v>198</v>
      </c>
      <c r="B25" s="28" t="s">
        <v>97</v>
      </c>
      <c r="C25" s="30">
        <v>0</v>
      </c>
      <c r="D25" s="30">
        <v>0</v>
      </c>
      <c r="E25" s="1" t="s">
        <v>199</v>
      </c>
    </row>
    <row r="26" spans="1:5" ht="15" customHeight="1">
      <c r="A26" s="28" t="s">
        <v>200</v>
      </c>
      <c r="B26" s="28" t="s">
        <v>201</v>
      </c>
      <c r="C26" s="31">
        <v>0.1</v>
      </c>
      <c r="D26" s="31">
        <v>0.1</v>
      </c>
      <c r="E26" s="1" t="s">
        <v>202</v>
      </c>
    </row>
    <row r="27" spans="1:5" ht="26.25" customHeight="1">
      <c r="A27" s="28" t="s">
        <v>203</v>
      </c>
      <c r="B27" s="28" t="s">
        <v>204</v>
      </c>
      <c r="C27" s="7" t="s">
        <v>19</v>
      </c>
      <c r="D27" s="7" t="s">
        <v>19</v>
      </c>
      <c r="E27" s="1" t="s">
        <v>205</v>
      </c>
    </row>
    <row r="28" spans="1:5" ht="15" customHeight="1">
      <c r="A28" s="28" t="s">
        <v>206</v>
      </c>
      <c r="B28" s="28" t="s">
        <v>128</v>
      </c>
      <c r="C28" s="18">
        <f>C2*C3</f>
        <v>113100.00000000001</v>
      </c>
      <c r="D28" s="18">
        <f>D2*D3</f>
        <v>98000</v>
      </c>
      <c r="E28" s="1" t="s">
        <v>207</v>
      </c>
    </row>
  </sheetData>
  <sheetProtection sheet="1" objects="1" scenarios="1" formatCells="0" formatColumns="0" formatRows="0" sort="0" autoFilter="0"/>
  <dataValidations count="1">
    <dataValidation type="decimal" showInputMessage="1" promptTitle="Operational input" prompt="Enter a non-negative value." sqref="C2:D26" xr:uid="{00000000-0002-0000-0200-000000000000}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4"/>
  <sheetViews>
    <sheetView showGridLines="0" workbookViewId="0"/>
  </sheetViews>
  <sheetFormatPr baseColWidth="10" defaultColWidth="8.83203125" defaultRowHeight="14"/>
  <cols>
    <col min="1" max="1" width="34" customWidth="1"/>
    <col min="2" max="2" width="18" customWidth="1"/>
    <col min="3" max="4" width="20" customWidth="1"/>
    <col min="5" max="5" width="60" customWidth="1"/>
  </cols>
  <sheetData>
    <row r="1" spans="1:5" ht="15" customHeight="1">
      <c r="A1" s="2" t="s">
        <v>208</v>
      </c>
      <c r="B1" s="2" t="s">
        <v>57</v>
      </c>
      <c r="C1" s="2" t="s">
        <v>39</v>
      </c>
      <c r="D1" s="2" t="s">
        <v>40</v>
      </c>
      <c r="E1" s="11" t="s">
        <v>209</v>
      </c>
    </row>
    <row r="2" spans="1:5" ht="15" customHeight="1">
      <c r="A2" s="4" t="s">
        <v>210</v>
      </c>
      <c r="B2" s="4"/>
      <c r="C2" s="4"/>
      <c r="D2" s="4"/>
      <c r="E2" s="20"/>
    </row>
    <row r="3" spans="1:5" ht="15" customHeight="1">
      <c r="A3" s="28" t="s">
        <v>211</v>
      </c>
      <c r="B3" s="28" t="s">
        <v>128</v>
      </c>
      <c r="C3" s="7">
        <f>Inputs!C28</f>
        <v>113100.00000000001</v>
      </c>
      <c r="D3" s="7">
        <f>Inputs!D28</f>
        <v>98000</v>
      </c>
      <c r="E3" s="1" t="s">
        <v>212</v>
      </c>
    </row>
    <row r="4" spans="1:5" ht="15" customHeight="1">
      <c r="A4" s="28" t="s">
        <v>154</v>
      </c>
      <c r="B4" s="28" t="s">
        <v>155</v>
      </c>
      <c r="C4" s="7">
        <f>Inputs!C3</f>
        <v>228.4</v>
      </c>
      <c r="D4" s="7">
        <f>Inputs!D3</f>
        <v>232.5</v>
      </c>
      <c r="E4" s="1" t="s">
        <v>12</v>
      </c>
    </row>
    <row r="5" spans="1:5" ht="15" customHeight="1">
      <c r="A5" s="28" t="s">
        <v>157</v>
      </c>
      <c r="B5" s="28" t="s">
        <v>155</v>
      </c>
      <c r="C5" s="7">
        <f>Inputs!C4</f>
        <v>215.2</v>
      </c>
      <c r="D5" s="7">
        <f>Inputs!D4</f>
        <v>214.6</v>
      </c>
      <c r="E5" s="1" t="s">
        <v>12</v>
      </c>
    </row>
    <row r="6" spans="1:5" ht="15" customHeight="1">
      <c r="A6" s="28" t="s">
        <v>159</v>
      </c>
      <c r="B6" s="28" t="s">
        <v>160</v>
      </c>
      <c r="C6" s="7">
        <f>Inputs!C5</f>
        <v>2123</v>
      </c>
      <c r="D6" s="7">
        <f>Inputs!D5</f>
        <v>2058</v>
      </c>
      <c r="E6" s="1" t="s">
        <v>12</v>
      </c>
    </row>
    <row r="7" spans="1:5" ht="15" customHeight="1">
      <c r="A7" s="28" t="s">
        <v>162</v>
      </c>
      <c r="B7" s="28" t="s">
        <v>163</v>
      </c>
      <c r="C7" s="7">
        <f>Inputs!C6</f>
        <v>63.9</v>
      </c>
      <c r="D7" s="7">
        <f>Inputs!D6</f>
        <v>62.5</v>
      </c>
      <c r="E7" s="1" t="s">
        <v>12</v>
      </c>
    </row>
    <row r="8" spans="1:5" ht="15" customHeight="1">
      <c r="A8" s="28" t="s">
        <v>165</v>
      </c>
      <c r="B8" s="28" t="s">
        <v>166</v>
      </c>
      <c r="C8" s="12">
        <f>Inputs!C7</f>
        <v>0.85299999999999998</v>
      </c>
      <c r="D8" s="12">
        <f>Inputs!D7</f>
        <v>0.80500000000000005</v>
      </c>
      <c r="E8" s="1" t="s">
        <v>12</v>
      </c>
    </row>
    <row r="9" spans="1:5" ht="15" customHeight="1">
      <c r="A9" s="28" t="s">
        <v>168</v>
      </c>
      <c r="B9" s="28" t="s">
        <v>169</v>
      </c>
      <c r="C9" s="12">
        <f>Inputs!C8</f>
        <v>0.86799999999999999</v>
      </c>
      <c r="D9" s="12">
        <f>Inputs!D8</f>
        <v>0.93899999999999995</v>
      </c>
      <c r="E9" s="1" t="s">
        <v>213</v>
      </c>
    </row>
    <row r="10" spans="1:5" ht="15" customHeight="1">
      <c r="A10" s="28" t="s">
        <v>171</v>
      </c>
      <c r="B10" s="28" t="s">
        <v>172</v>
      </c>
      <c r="C10" s="7">
        <f>Inputs!C9</f>
        <v>3.3833333333</v>
      </c>
      <c r="D10" s="7">
        <f>Inputs!D9</f>
        <v>3.4</v>
      </c>
      <c r="E10" s="1" t="s">
        <v>12</v>
      </c>
    </row>
    <row r="11" spans="1:5" ht="15" customHeight="1">
      <c r="A11" s="28" t="s">
        <v>174</v>
      </c>
      <c r="B11" s="28" t="s">
        <v>175</v>
      </c>
      <c r="C11" s="7">
        <f>Inputs!C10</f>
        <v>34.200000000000003</v>
      </c>
      <c r="D11" s="7">
        <f>Inputs!D10</f>
        <v>33.799999999999997</v>
      </c>
      <c r="E11" s="1" t="s">
        <v>12</v>
      </c>
    </row>
    <row r="12" spans="1:5" ht="15" customHeight="1">
      <c r="A12" s="28" t="s">
        <v>177</v>
      </c>
      <c r="B12" s="28" t="s">
        <v>178</v>
      </c>
      <c r="C12" s="7">
        <f>Inputs!C11</f>
        <v>1.2655246250000001</v>
      </c>
      <c r="D12" s="7">
        <f>Inputs!D11</f>
        <v>1.2655246250000001</v>
      </c>
      <c r="E12" s="1" t="s">
        <v>12</v>
      </c>
    </row>
    <row r="13" spans="1:5" ht="15" customHeight="1">
      <c r="A13" s="28" t="s">
        <v>180</v>
      </c>
      <c r="B13" s="28" t="s">
        <v>97</v>
      </c>
      <c r="C13" s="7">
        <f>Inputs!C12</f>
        <v>3098</v>
      </c>
      <c r="D13" s="7">
        <f>Inputs!D12</f>
        <v>3101</v>
      </c>
      <c r="E13" s="1" t="s">
        <v>12</v>
      </c>
    </row>
    <row r="14" spans="1:5" ht="15" customHeight="1">
      <c r="A14" s="28" t="s">
        <v>181</v>
      </c>
      <c r="B14" s="28" t="s">
        <v>97</v>
      </c>
      <c r="C14" s="7">
        <f>Inputs!C13</f>
        <v>8221</v>
      </c>
      <c r="D14" s="7">
        <f>Inputs!D13</f>
        <v>7278</v>
      </c>
      <c r="E14" s="1" t="s">
        <v>12</v>
      </c>
    </row>
    <row r="15" spans="1:5" ht="15" customHeight="1">
      <c r="A15" s="28" t="s">
        <v>182</v>
      </c>
      <c r="B15" s="28" t="s">
        <v>97</v>
      </c>
      <c r="C15" s="7">
        <f>Inputs!C14</f>
        <v>8090</v>
      </c>
      <c r="D15" s="7">
        <f>Inputs!D14</f>
        <v>5805</v>
      </c>
      <c r="E15" s="1" t="s">
        <v>12</v>
      </c>
    </row>
    <row r="16" spans="1:5" ht="15" customHeight="1">
      <c r="A16" s="28" t="s">
        <v>183</v>
      </c>
      <c r="B16" s="28" t="s">
        <v>97</v>
      </c>
      <c r="C16" s="7">
        <f>Inputs!C15</f>
        <v>10793</v>
      </c>
      <c r="D16" s="7">
        <f>Inputs!D15</f>
        <v>10934</v>
      </c>
      <c r="E16" s="1" t="s">
        <v>12</v>
      </c>
    </row>
    <row r="17" spans="1:5" ht="15" customHeight="1">
      <c r="A17" s="28" t="s">
        <v>184</v>
      </c>
      <c r="B17" s="28" t="s">
        <v>97</v>
      </c>
      <c r="C17" s="7">
        <f>Inputs!C16</f>
        <v>3208</v>
      </c>
      <c r="D17" s="7">
        <f>Inputs!D16</f>
        <v>3551</v>
      </c>
      <c r="E17" s="1" t="s">
        <v>12</v>
      </c>
    </row>
    <row r="18" spans="1:5" ht="15" customHeight="1">
      <c r="A18" s="28" t="s">
        <v>185</v>
      </c>
      <c r="B18" s="28" t="s">
        <v>97</v>
      </c>
      <c r="C18" s="7">
        <f>Inputs!C17</f>
        <v>2198</v>
      </c>
      <c r="D18" s="7">
        <f>Inputs!D17</f>
        <v>2598</v>
      </c>
      <c r="E18" s="1" t="s">
        <v>12</v>
      </c>
    </row>
    <row r="19" spans="1:5" ht="15" customHeight="1">
      <c r="A19" s="28" t="s">
        <v>186</v>
      </c>
      <c r="B19" s="28" t="s">
        <v>97</v>
      </c>
      <c r="C19" s="7">
        <f>Inputs!C18</f>
        <v>477</v>
      </c>
      <c r="D19" s="7">
        <f>Inputs!D18</f>
        <v>411</v>
      </c>
      <c r="E19" s="1" t="s">
        <v>12</v>
      </c>
    </row>
    <row r="20" spans="1:5" ht="15" customHeight="1">
      <c r="A20" s="28" t="s">
        <v>187</v>
      </c>
      <c r="B20" s="28" t="s">
        <v>97</v>
      </c>
      <c r="C20" s="7">
        <f>Inputs!C19</f>
        <v>400</v>
      </c>
      <c r="D20" s="7">
        <f>Inputs!D19</f>
        <v>400</v>
      </c>
      <c r="E20" s="1" t="s">
        <v>12</v>
      </c>
    </row>
    <row r="21" spans="1:5" ht="15" customHeight="1">
      <c r="A21" s="28" t="s">
        <v>189</v>
      </c>
      <c r="B21" s="28" t="s">
        <v>190</v>
      </c>
      <c r="C21" s="12">
        <f>Inputs!C20</f>
        <v>2348.7199999999998</v>
      </c>
      <c r="D21" s="12">
        <f>Inputs!D20</f>
        <v>2182.15</v>
      </c>
      <c r="E21" s="1" t="s">
        <v>12</v>
      </c>
    </row>
    <row r="22" spans="1:5" ht="15" customHeight="1">
      <c r="A22" s="28" t="s">
        <v>191</v>
      </c>
      <c r="B22" s="28" t="s">
        <v>78</v>
      </c>
      <c r="C22" s="12">
        <f>Inputs!C21</f>
        <v>0.193</v>
      </c>
      <c r="D22" s="12">
        <f>Inputs!D21</f>
        <v>0.193</v>
      </c>
      <c r="E22" s="1" t="s">
        <v>12</v>
      </c>
    </row>
    <row r="23" spans="1:5" ht="15" customHeight="1">
      <c r="A23" s="28" t="s">
        <v>193</v>
      </c>
      <c r="B23" s="28" t="s">
        <v>194</v>
      </c>
      <c r="C23" s="7">
        <f>Inputs!C22</f>
        <v>38.36</v>
      </c>
      <c r="D23" s="7">
        <f>Inputs!D22</f>
        <v>16.53</v>
      </c>
      <c r="E23" s="1" t="s">
        <v>12</v>
      </c>
    </row>
    <row r="24" spans="1:5" ht="15" customHeight="1">
      <c r="A24" s="28" t="s">
        <v>195</v>
      </c>
      <c r="B24" s="28" t="s">
        <v>196</v>
      </c>
      <c r="C24" s="7">
        <f>Inputs!C23</f>
        <v>1.0640000000000001</v>
      </c>
      <c r="D24" s="7">
        <f>Inputs!D23</f>
        <v>1.085</v>
      </c>
      <c r="E24" s="1" t="s">
        <v>12</v>
      </c>
    </row>
    <row r="25" spans="1:5" ht="15" customHeight="1">
      <c r="A25" s="28" t="s">
        <v>197</v>
      </c>
      <c r="B25" s="28" t="s">
        <v>97</v>
      </c>
      <c r="C25" s="7">
        <f>Inputs!C24</f>
        <v>17886</v>
      </c>
      <c r="D25" s="7">
        <f>Inputs!D24</f>
        <v>17820</v>
      </c>
      <c r="E25" s="1" t="s">
        <v>12</v>
      </c>
    </row>
    <row r="26" spans="1:5" ht="15" customHeight="1">
      <c r="A26" s="28" t="s">
        <v>198</v>
      </c>
      <c r="B26" s="28" t="s">
        <v>97</v>
      </c>
      <c r="C26" s="7">
        <f>Inputs!C25</f>
        <v>0</v>
      </c>
      <c r="D26" s="7">
        <f>Inputs!D25</f>
        <v>0</v>
      </c>
      <c r="E26" s="1" t="s">
        <v>12</v>
      </c>
    </row>
    <row r="27" spans="1:5" ht="15" customHeight="1">
      <c r="A27" s="28" t="s">
        <v>200</v>
      </c>
      <c r="B27" s="28" t="s">
        <v>201</v>
      </c>
      <c r="C27" s="12">
        <f>Inputs!C26</f>
        <v>0.1</v>
      </c>
      <c r="D27" s="12">
        <f>Inputs!D26</f>
        <v>0.1</v>
      </c>
      <c r="E27" s="1" t="s">
        <v>12</v>
      </c>
    </row>
    <row r="28" spans="1:5" ht="15" customHeight="1">
      <c r="A28" s="28" t="s">
        <v>214</v>
      </c>
      <c r="B28" s="28" t="s">
        <v>123</v>
      </c>
      <c r="C28" s="7">
        <f>'Pricing Scenarios'!C18</f>
        <v>1.7244648863101948</v>
      </c>
      <c r="D28" s="7">
        <f>'Pricing Scenarios'!D18</f>
        <v>1.8761094066381987</v>
      </c>
      <c r="E28" s="1" t="s">
        <v>215</v>
      </c>
    </row>
    <row r="29" spans="1:5" ht="15" customHeight="1">
      <c r="A29" s="28"/>
      <c r="B29" s="28"/>
      <c r="C29" s="7"/>
      <c r="D29" s="7"/>
      <c r="E29" s="1"/>
    </row>
    <row r="30" spans="1:5" ht="15" customHeight="1">
      <c r="A30" s="4" t="s">
        <v>216</v>
      </c>
      <c r="B30" s="4"/>
      <c r="C30" s="19"/>
      <c r="D30" s="19"/>
      <c r="E30" s="20"/>
    </row>
    <row r="31" spans="1:5" ht="15" customHeight="1">
      <c r="A31" s="28" t="s">
        <v>217</v>
      </c>
      <c r="B31" s="28" t="s">
        <v>128</v>
      </c>
      <c r="C31" s="7">
        <f>IFERROR(C3*C8,0)</f>
        <v>96474.300000000017</v>
      </c>
      <c r="D31" s="7">
        <f>IFERROR(D3*D8,0)</f>
        <v>78890</v>
      </c>
      <c r="E31" s="1" t="s">
        <v>218</v>
      </c>
    </row>
    <row r="32" spans="1:5" ht="15" customHeight="1">
      <c r="A32" s="28" t="s">
        <v>219</v>
      </c>
      <c r="B32" s="28" t="s">
        <v>128</v>
      </c>
      <c r="C32" s="7">
        <f>IFERROR(C3-C31,0)</f>
        <v>16625.699999999997</v>
      </c>
      <c r="D32" s="7">
        <f>IFERROR(D3-D31,0)</f>
        <v>19110</v>
      </c>
      <c r="E32" s="1" t="s">
        <v>220</v>
      </c>
    </row>
    <row r="33" spans="1:5" ht="15" customHeight="1">
      <c r="A33" s="28" t="s">
        <v>221</v>
      </c>
      <c r="B33" s="28" t="s">
        <v>160</v>
      </c>
      <c r="C33" s="7">
        <f>IFERROR(C3/C7,0)</f>
        <v>1769.9530516431928</v>
      </c>
      <c r="D33" s="7">
        <f>IFERROR(D3/D7,0)</f>
        <v>1568</v>
      </c>
      <c r="E33" s="1" t="s">
        <v>222</v>
      </c>
    </row>
    <row r="34" spans="1:5" ht="15" customHeight="1">
      <c r="A34" s="28" t="s">
        <v>223</v>
      </c>
      <c r="B34" s="28" t="s">
        <v>160</v>
      </c>
      <c r="C34" s="7">
        <f>IFERROR(C4*C10,0)</f>
        <v>772.75333332572006</v>
      </c>
      <c r="D34" s="7">
        <f>IFERROR(D4*D10,0)</f>
        <v>790.5</v>
      </c>
      <c r="E34" s="1" t="s">
        <v>224</v>
      </c>
    </row>
    <row r="35" spans="1:5" ht="15" customHeight="1">
      <c r="A35" s="28" t="s">
        <v>225</v>
      </c>
      <c r="B35" s="28" t="s">
        <v>160</v>
      </c>
      <c r="C35" s="7">
        <f>IFERROR(C33+C34,0)</f>
        <v>2542.706384968913</v>
      </c>
      <c r="D35" s="7">
        <f>IFERROR(D33+D34,0)</f>
        <v>2358.5</v>
      </c>
      <c r="E35" s="1" t="s">
        <v>226</v>
      </c>
    </row>
    <row r="36" spans="1:5" ht="15" customHeight="1">
      <c r="A36" s="28"/>
      <c r="B36" s="28"/>
      <c r="C36" s="7"/>
      <c r="D36" s="7"/>
      <c r="E36" s="1"/>
    </row>
    <row r="37" spans="1:5" ht="15" customHeight="1">
      <c r="A37" s="4" t="s">
        <v>227</v>
      </c>
      <c r="B37" s="4"/>
      <c r="C37" s="19"/>
      <c r="D37" s="19"/>
      <c r="E37" s="20"/>
    </row>
    <row r="38" spans="1:5" ht="15" customHeight="1">
      <c r="A38" s="28" t="s">
        <v>228</v>
      </c>
      <c r="B38" s="28" t="s">
        <v>229</v>
      </c>
      <c r="C38" s="7">
        <f>IFERROR(C11/100*C12,0)</f>
        <v>0.43280942175000003</v>
      </c>
      <c r="D38" s="7">
        <f>IFERROR(D11/100*D12,0)</f>
        <v>0.42774732324999998</v>
      </c>
      <c r="E38" s="1" t="s">
        <v>230</v>
      </c>
    </row>
    <row r="39" spans="1:5" ht="15" customHeight="1">
      <c r="A39" s="28" t="s">
        <v>231</v>
      </c>
      <c r="B39" s="28" t="s">
        <v>229</v>
      </c>
      <c r="C39" s="7">
        <f>IFERROR(C13/C3,0)</f>
        <v>2.7391688770999113E-2</v>
      </c>
      <c r="D39" s="7">
        <f>IFERROR(D13/D3,0)</f>
        <v>3.1642857142857146E-2</v>
      </c>
      <c r="E39" s="1" t="s">
        <v>232</v>
      </c>
    </row>
    <row r="40" spans="1:5" ht="15" customHeight="1">
      <c r="A40" s="28" t="s">
        <v>233</v>
      </c>
      <c r="B40" s="28" t="s">
        <v>229</v>
      </c>
      <c r="C40" s="7">
        <f>IFERROR(C14/C3,0)</f>
        <v>7.2687886825817852E-2</v>
      </c>
      <c r="D40" s="7">
        <f>IFERROR(D14/D3,0)</f>
        <v>7.4265306122448985E-2</v>
      </c>
      <c r="E40" s="1" t="s">
        <v>234</v>
      </c>
    </row>
    <row r="41" spans="1:5" ht="15" customHeight="1">
      <c r="A41" s="28" t="s">
        <v>235</v>
      </c>
      <c r="B41" s="28" t="s">
        <v>229</v>
      </c>
      <c r="C41" s="7">
        <f>IFERROR(C15/C3,0)</f>
        <v>7.1529619805481864E-2</v>
      </c>
      <c r="D41" s="7">
        <f>IFERROR(D15/D3,0)</f>
        <v>5.9234693877551023E-2</v>
      </c>
      <c r="E41" s="1" t="s">
        <v>236</v>
      </c>
    </row>
    <row r="42" spans="1:5" ht="15" customHeight="1">
      <c r="A42" s="28" t="s">
        <v>237</v>
      </c>
      <c r="B42" s="28" t="s">
        <v>229</v>
      </c>
      <c r="C42" s="7">
        <f>SUM(C38:C41)</f>
        <v>0.60441861715229894</v>
      </c>
      <c r="D42" s="7">
        <f>SUM(D38:D41)</f>
        <v>0.59289018039285712</v>
      </c>
      <c r="E42" s="1" t="s">
        <v>238</v>
      </c>
    </row>
    <row r="43" spans="1:5" ht="15" customHeight="1">
      <c r="A43" s="28" t="s">
        <v>237</v>
      </c>
      <c r="B43" s="28" t="s">
        <v>123</v>
      </c>
      <c r="C43" s="7">
        <f>IFERROR(C42/C8,0)</f>
        <v>0.70857985598159312</v>
      </c>
      <c r="D43" s="7">
        <f>IFERROR(D42/D8,0)</f>
        <v>0.73650954086069198</v>
      </c>
      <c r="E43" s="1" t="s">
        <v>239</v>
      </c>
    </row>
    <row r="44" spans="1:5" ht="15" customHeight="1">
      <c r="A44" s="28" t="s">
        <v>240</v>
      </c>
      <c r="B44" s="28" t="s">
        <v>97</v>
      </c>
      <c r="C44" s="7">
        <f>IFERROR(C42*C3,0)</f>
        <v>68359.745599925023</v>
      </c>
      <c r="D44" s="7">
        <f>IFERROR(D42*D3,0)</f>
        <v>58103.237678500001</v>
      </c>
      <c r="E44" s="1" t="s">
        <v>241</v>
      </c>
    </row>
    <row r="45" spans="1:5" ht="15" customHeight="1">
      <c r="A45" s="28"/>
      <c r="B45" s="28"/>
      <c r="C45" s="7"/>
      <c r="D45" s="7"/>
      <c r="E45" s="1"/>
    </row>
    <row r="46" spans="1:5" ht="15" customHeight="1">
      <c r="A46" s="4" t="s">
        <v>242</v>
      </c>
      <c r="B46" s="4"/>
      <c r="C46" s="19"/>
      <c r="D46" s="19"/>
      <c r="E46" s="20"/>
    </row>
    <row r="47" spans="1:5" ht="15" customHeight="1">
      <c r="A47" s="28" t="s">
        <v>243</v>
      </c>
      <c r="B47" s="28" t="s">
        <v>97</v>
      </c>
      <c r="C47" s="7">
        <f>IFERROR(C21*12*C24*(1+C22),0)</f>
        <v>35776.229153280001</v>
      </c>
      <c r="D47" s="7">
        <f>IFERROR(D21*12*D24*(1+D22),0)</f>
        <v>33895.030449000005</v>
      </c>
      <c r="E47" s="1" t="s">
        <v>244</v>
      </c>
    </row>
    <row r="48" spans="1:5" ht="15" customHeight="1">
      <c r="A48" s="28" t="s">
        <v>245</v>
      </c>
      <c r="B48" s="28" t="s">
        <v>97</v>
      </c>
      <c r="C48" s="7">
        <f>IFERROR(C23*C5*C24,0)</f>
        <v>8783.3966080000009</v>
      </c>
      <c r="D48" s="7">
        <f>IFERROR(D23*D5*D24,0)</f>
        <v>3848.8617300000001</v>
      </c>
      <c r="E48" s="1" t="s">
        <v>246</v>
      </c>
    </row>
    <row r="49" spans="1:5" ht="15" customHeight="1">
      <c r="A49" s="28" t="s">
        <v>247</v>
      </c>
      <c r="B49" s="28" t="s">
        <v>97</v>
      </c>
      <c r="C49" s="7">
        <f>SUM(C47:C48)</f>
        <v>44559.625761280004</v>
      </c>
      <c r="D49" s="7">
        <f>SUM(D47:D48)</f>
        <v>37743.892179000002</v>
      </c>
      <c r="E49" s="1" t="s">
        <v>248</v>
      </c>
    </row>
    <row r="50" spans="1:5" ht="15" customHeight="1">
      <c r="A50" s="28" t="s">
        <v>249</v>
      </c>
      <c r="B50" s="28" t="s">
        <v>250</v>
      </c>
      <c r="C50" s="7">
        <f>IFERROR(C49/C35,0)</f>
        <v>17.524487304036398</v>
      </c>
      <c r="D50" s="7">
        <f>IFERROR(D49/D35,0)</f>
        <v>16.003346270510917</v>
      </c>
      <c r="E50" s="1" t="s">
        <v>251</v>
      </c>
    </row>
    <row r="51" spans="1:5" ht="15" customHeight="1">
      <c r="A51" s="28" t="s">
        <v>252</v>
      </c>
      <c r="B51" s="28" t="s">
        <v>123</v>
      </c>
      <c r="C51" s="7">
        <f>IFERROR(C49/C31,0)</f>
        <v>0.46188078857561027</v>
      </c>
      <c r="D51" s="7">
        <f>IFERROR(D49/D31,0)</f>
        <v>0.47843696512866019</v>
      </c>
      <c r="E51" s="1" t="s">
        <v>253</v>
      </c>
    </row>
    <row r="52" spans="1:5" ht="15" customHeight="1">
      <c r="A52" s="28"/>
      <c r="B52" s="28"/>
      <c r="C52" s="7"/>
      <c r="D52" s="7"/>
      <c r="E52" s="1"/>
    </row>
    <row r="53" spans="1:5" ht="15" customHeight="1">
      <c r="A53" s="4" t="s">
        <v>254</v>
      </c>
      <c r="B53" s="4"/>
      <c r="C53" s="19"/>
      <c r="D53" s="19"/>
      <c r="E53" s="20"/>
    </row>
    <row r="54" spans="1:5" ht="15" customHeight="1">
      <c r="A54" s="28" t="s">
        <v>255</v>
      </c>
      <c r="B54" s="28" t="s">
        <v>97</v>
      </c>
      <c r="C54" s="7">
        <f>SUM(C16:C20)</f>
        <v>17076</v>
      </c>
      <c r="D54" s="7">
        <f>SUM(D16:D20)</f>
        <v>17894</v>
      </c>
      <c r="E54" s="1" t="s">
        <v>256</v>
      </c>
    </row>
    <row r="55" spans="1:5" ht="15" customHeight="1">
      <c r="A55" s="28" t="s">
        <v>257</v>
      </c>
      <c r="B55" s="28" t="s">
        <v>97</v>
      </c>
      <c r="C55" s="7">
        <f>SUM(C25:C26)</f>
        <v>17886</v>
      </c>
      <c r="D55" s="7">
        <f>SUM(D25:D26)</f>
        <v>17820</v>
      </c>
      <c r="E55" s="1" t="s">
        <v>258</v>
      </c>
    </row>
    <row r="56" spans="1:5" ht="15" customHeight="1">
      <c r="A56" s="28" t="s">
        <v>259</v>
      </c>
      <c r="B56" s="28" t="s">
        <v>97</v>
      </c>
      <c r="C56" s="7">
        <f>SUM(C54:C55)</f>
        <v>34962</v>
      </c>
      <c r="D56" s="7">
        <f>SUM(D54:D55)</f>
        <v>35714</v>
      </c>
      <c r="E56" s="1" t="s">
        <v>260</v>
      </c>
    </row>
    <row r="57" spans="1:5" ht="15" customHeight="1">
      <c r="A57" s="28" t="s">
        <v>261</v>
      </c>
      <c r="B57" s="28" t="s">
        <v>97</v>
      </c>
      <c r="C57" s="7">
        <f>SUM(C49,C56)</f>
        <v>79521.625761280011</v>
      </c>
      <c r="D57" s="7">
        <f>SUM(D49,D56)</f>
        <v>73457.892179000002</v>
      </c>
      <c r="E57" s="1" t="s">
        <v>262</v>
      </c>
    </row>
    <row r="58" spans="1:5" ht="15" customHeight="1">
      <c r="A58" s="28"/>
      <c r="B58" s="28"/>
      <c r="C58" s="7"/>
      <c r="D58" s="7"/>
      <c r="E58" s="1"/>
    </row>
    <row r="59" spans="1:5" ht="15" customHeight="1">
      <c r="A59" s="4" t="s">
        <v>263</v>
      </c>
      <c r="B59" s="4"/>
      <c r="C59" s="19"/>
      <c r="D59" s="19"/>
      <c r="E59" s="20"/>
    </row>
    <row r="60" spans="1:5" ht="15" customHeight="1">
      <c r="A60" s="28" t="s">
        <v>264</v>
      </c>
      <c r="B60" s="28" t="s">
        <v>97</v>
      </c>
      <c r="C60" s="14">
        <f>SUM(C44,C57)</f>
        <v>147881.37136120503</v>
      </c>
      <c r="D60" s="14">
        <f>SUM(D44,D57)</f>
        <v>131561.1298575</v>
      </c>
      <c r="E60" s="1" t="s">
        <v>265</v>
      </c>
    </row>
    <row r="61" spans="1:5" ht="15" customHeight="1">
      <c r="A61" s="28" t="s">
        <v>266</v>
      </c>
      <c r="B61" s="28" t="s">
        <v>229</v>
      </c>
      <c r="C61" s="14">
        <f>IFERROR(C60/C3,0)</f>
        <v>1.3075275982423078</v>
      </c>
      <c r="D61" s="14">
        <f>IFERROR(D60/D3,0)</f>
        <v>1.3424605087499999</v>
      </c>
      <c r="E61" s="1" t="s">
        <v>267</v>
      </c>
    </row>
    <row r="62" spans="1:5" ht="15" customHeight="1">
      <c r="A62" s="28" t="s">
        <v>268</v>
      </c>
      <c r="B62" s="28" t="s">
        <v>123</v>
      </c>
      <c r="C62" s="9">
        <f>IFERROR(C60/C31,0)</f>
        <v>1.5328576767201731</v>
      </c>
      <c r="D62" s="9">
        <f>IFERROR(D60/D31,0)</f>
        <v>1.667652805900621</v>
      </c>
      <c r="E62" s="1" t="s">
        <v>269</v>
      </c>
    </row>
    <row r="63" spans="1:5" ht="15" customHeight="1">
      <c r="A63" s="28" t="s">
        <v>270</v>
      </c>
      <c r="B63" s="28" t="s">
        <v>123</v>
      </c>
      <c r="C63" s="9">
        <f>IFERROR(C62/(1-C27),0)</f>
        <v>1.703175196355748</v>
      </c>
      <c r="D63" s="9">
        <f>IFERROR(D62/(1-D27),0)</f>
        <v>1.852947562111801</v>
      </c>
      <c r="E63" s="1" t="s">
        <v>271</v>
      </c>
    </row>
    <row r="64" spans="1:5" ht="15" customHeight="1">
      <c r="A64" s="28" t="s">
        <v>272</v>
      </c>
      <c r="B64" s="28" t="s">
        <v>97</v>
      </c>
      <c r="C64" s="5">
        <f>IFERROR(C28*C31,0)</f>
        <v>166366.54278135565</v>
      </c>
      <c r="D64" s="5">
        <f>IFERROR(D28*D31,0)</f>
        <v>148006.27108968751</v>
      </c>
      <c r="E64" s="1" t="s">
        <v>273</v>
      </c>
    </row>
    <row r="65" spans="1:5" ht="15" customHeight="1">
      <c r="A65" s="28" t="s">
        <v>274</v>
      </c>
      <c r="B65" s="28" t="s">
        <v>97</v>
      </c>
      <c r="C65" s="5">
        <f>C64-C60</f>
        <v>18485.171420150611</v>
      </c>
      <c r="D65" s="5">
        <f>D64-D60</f>
        <v>16445.14123218751</v>
      </c>
      <c r="E65" s="1" t="s">
        <v>275</v>
      </c>
    </row>
    <row r="66" spans="1:5" ht="15" customHeight="1">
      <c r="A66" s="28" t="s">
        <v>276</v>
      </c>
      <c r="B66" s="28" t="s">
        <v>201</v>
      </c>
      <c r="C66" s="10">
        <f>IFERROR(C65/C64,0)</f>
        <v>0.11111111111111101</v>
      </c>
      <c r="D66" s="10">
        <f>IFERROR(D65/D64,0)</f>
        <v>0.11111111111111117</v>
      </c>
      <c r="E66" s="1" t="s">
        <v>277</v>
      </c>
    </row>
    <row r="67" spans="1:5" ht="15" customHeight="1">
      <c r="A67" s="28" t="s">
        <v>278</v>
      </c>
      <c r="B67" s="28" t="s">
        <v>128</v>
      </c>
      <c r="C67" s="10">
        <f>IFERROR(IF(C28&lt;=C43,"Rate below variable cost",C57/(C28-C43)),0)</f>
        <v>78278.174583946442</v>
      </c>
      <c r="D67" s="10">
        <f>IFERROR(IF(D28&lt;=D43,"Rate below variable cost",D57/(D28-D43)),0)</f>
        <v>64459.372438485167</v>
      </c>
      <c r="E67" s="1" t="s">
        <v>279</v>
      </c>
    </row>
    <row r="68" spans="1:5" ht="15" customHeight="1">
      <c r="A68" s="28" t="s">
        <v>280</v>
      </c>
      <c r="B68" s="28" t="s">
        <v>128</v>
      </c>
      <c r="C68" s="10">
        <f>IFERROR(IF(ISNUMBER(C67),C67/C8,""),"")</f>
        <v>91768.082747885637</v>
      </c>
      <c r="D68" s="10">
        <f>IFERROR(IF(ISNUMBER(D67),D67/D8,""),"")</f>
        <v>80073.754581969144</v>
      </c>
      <c r="E68" s="1" t="s">
        <v>281</v>
      </c>
    </row>
    <row r="69" spans="1:5" ht="26.25" customHeight="1">
      <c r="A69" s="28" t="s">
        <v>282</v>
      </c>
      <c r="B69" s="28" t="s">
        <v>78</v>
      </c>
      <c r="C69" s="10">
        <f>IFERROR(IF(ISNUMBER(C67),C67/C31,""),"")</f>
        <v>0.8113888837125165</v>
      </c>
      <c r="D69" s="10">
        <f>IFERROR(IF(ISNUMBER(D67),D67/D31,""),"")</f>
        <v>0.81707912838744035</v>
      </c>
      <c r="E69" s="1" t="s">
        <v>283</v>
      </c>
    </row>
    <row r="70" spans="1:5" ht="15" customHeight="1">
      <c r="A70" s="28" t="s">
        <v>284</v>
      </c>
      <c r="B70" s="28" t="s">
        <v>78</v>
      </c>
      <c r="C70" s="10">
        <f>IFERROR(C60/(C28*C3),0)</f>
        <v>0.75822222222222224</v>
      </c>
      <c r="D70" s="10">
        <f>IFERROR(D60/(D28*D3),0)</f>
        <v>0.7155555555555555</v>
      </c>
      <c r="E70" s="1" t="s">
        <v>285</v>
      </c>
    </row>
    <row r="71" spans="1:5" ht="15" customHeight="1">
      <c r="A71" s="28" t="s">
        <v>286</v>
      </c>
      <c r="B71" s="28" t="s">
        <v>128</v>
      </c>
      <c r="C71" s="9">
        <f>IFERROR(IF(ISNUMBER(C67),C31-C67,""),"")</f>
        <v>18196.125416053575</v>
      </c>
      <c r="D71" s="9">
        <f>IFERROR(IF(ISNUMBER(D67),D31-D67,""),"")</f>
        <v>14430.627561514833</v>
      </c>
      <c r="E71" s="1" t="s">
        <v>287</v>
      </c>
    </row>
    <row r="72" spans="1:5" ht="15" customHeight="1">
      <c r="A72" s="28" t="s">
        <v>288</v>
      </c>
      <c r="B72" s="28" t="s">
        <v>78</v>
      </c>
      <c r="C72" s="9">
        <f>IFERROR(IF(ISNUMBER(C71),C71/C31,""),"")</f>
        <v>0.18861111628748353</v>
      </c>
      <c r="D72" s="9">
        <f>IFERROR(IF(ISNUMBER(D71),D71/D31,""),"")</f>
        <v>0.18292087161255968</v>
      </c>
      <c r="E72" s="1" t="s">
        <v>289</v>
      </c>
    </row>
    <row r="73" spans="1:5" ht="15" customHeight="1">
      <c r="A73" s="28" t="s">
        <v>290</v>
      </c>
      <c r="B73" s="28" t="s">
        <v>123</v>
      </c>
      <c r="C73" s="9">
        <f>IFERROR(C28-C62,0)</f>
        <v>0.19160720959002164</v>
      </c>
      <c r="D73" s="9">
        <f>IFERROR(D28-D62,0)</f>
        <v>0.20845660073757766</v>
      </c>
      <c r="E73" s="1" t="s">
        <v>291</v>
      </c>
    </row>
    <row r="74" spans="1:5" ht="15" customHeight="1">
      <c r="A74" s="28" t="s">
        <v>292</v>
      </c>
      <c r="B74" s="28" t="s">
        <v>123</v>
      </c>
      <c r="C74" s="9">
        <f>IFERROR(C28-C62,0)</f>
        <v>0.19160720959002164</v>
      </c>
      <c r="D74" s="9">
        <f>IFERROR(D28-D62,0)</f>
        <v>0.20845660073757766</v>
      </c>
      <c r="E74" s="1" t="s">
        <v>291</v>
      </c>
    </row>
  </sheetData>
  <sheetProtection sheet="1" objects="1" scenarios="1" formatCells="0" formatColumns="0" formatRows="0" sort="0" autoFilter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6"/>
  <sheetViews>
    <sheetView showGridLines="0" workbookViewId="0">
      <selection activeCell="C24" sqref="C24"/>
    </sheetView>
  </sheetViews>
  <sheetFormatPr baseColWidth="10" defaultColWidth="8.83203125" defaultRowHeight="14"/>
  <cols>
    <col min="1" max="3" width="18" customWidth="1"/>
    <col min="4" max="5" width="16" customWidth="1"/>
    <col min="6" max="7" width="18" customWidth="1"/>
    <col min="8" max="9" width="16" customWidth="1"/>
    <col min="10" max="10" width="4" customWidth="1"/>
    <col min="11" max="11" width="12" customWidth="1"/>
    <col min="12" max="13" width="18" customWidth="1"/>
  </cols>
  <sheetData>
    <row r="1" spans="1:13" ht="76.75" customHeight="1">
      <c r="A1" s="42" t="s">
        <v>293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1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6.25" customHeight="1">
      <c r="A3" s="2" t="s">
        <v>294</v>
      </c>
      <c r="B3" s="2" t="s">
        <v>295</v>
      </c>
      <c r="C3" s="2" t="s">
        <v>296</v>
      </c>
      <c r="D3" s="2" t="s">
        <v>297</v>
      </c>
      <c r="E3" s="2" t="s">
        <v>298</v>
      </c>
      <c r="F3" s="2" t="s">
        <v>299</v>
      </c>
      <c r="G3" s="2" t="s">
        <v>300</v>
      </c>
      <c r="H3" s="2" t="s">
        <v>301</v>
      </c>
      <c r="I3" s="2" t="s">
        <v>302</v>
      </c>
      <c r="J3" s="28"/>
      <c r="K3" s="2" t="s">
        <v>303</v>
      </c>
      <c r="L3" s="2" t="s">
        <v>304</v>
      </c>
      <c r="M3" s="2" t="s">
        <v>305</v>
      </c>
    </row>
    <row r="4" spans="1:13" ht="15" customHeight="1">
      <c r="A4" s="32">
        <v>0</v>
      </c>
      <c r="B4" s="21">
        <f>Engine!$C$62*(1+$A4)</f>
        <v>1.5328576767201731</v>
      </c>
      <c r="C4" s="13">
        <f>B4*Engine!$C$31</f>
        <v>147881.37136120503</v>
      </c>
      <c r="D4" s="13">
        <f>C4-Engine!$C$60</f>
        <v>0</v>
      </c>
      <c r="E4" s="12">
        <f t="shared" ref="E4:E13" si="0">IFERROR(D4/C4,0)</f>
        <v>0</v>
      </c>
      <c r="F4" s="21">
        <f>Engine!$D$62*(1+$A4)</f>
        <v>1.667652805900621</v>
      </c>
      <c r="G4" s="13">
        <f>F4*Engine!$D$31</f>
        <v>131561.1298575</v>
      </c>
      <c r="H4" s="13">
        <f>G4-Engine!$D$60</f>
        <v>0</v>
      </c>
      <c r="I4" s="12">
        <f t="shared" ref="I4:I13" si="1">IFERROR(H4/G4,0)</f>
        <v>0</v>
      </c>
      <c r="J4" s="28"/>
      <c r="K4" s="28">
        <f t="shared" ref="K4:K13" si="2">A4</f>
        <v>0</v>
      </c>
      <c r="L4" s="7">
        <f t="shared" ref="L4:L13" si="3">B4</f>
        <v>1.5328576767201731</v>
      </c>
      <c r="M4" s="7">
        <f t="shared" ref="M4:M13" si="4">F4</f>
        <v>1.667652805900621</v>
      </c>
    </row>
    <row r="5" spans="1:13" ht="15" customHeight="1">
      <c r="A5" s="32">
        <v>0.05</v>
      </c>
      <c r="B5" s="21">
        <f>Engine!$C$62*(1+$A5)</f>
        <v>1.6095005605561818</v>
      </c>
      <c r="C5" s="13">
        <f>B5*Engine!$C$31</f>
        <v>155275.4399292653</v>
      </c>
      <c r="D5" s="13">
        <f>C5-Engine!$C$60</f>
        <v>7394.0685680602619</v>
      </c>
      <c r="E5" s="12">
        <f t="shared" si="0"/>
        <v>4.7619047619047679E-2</v>
      </c>
      <c r="F5" s="21">
        <f>Engine!$D$62*(1+$A5)</f>
        <v>1.7510354461956521</v>
      </c>
      <c r="G5" s="13">
        <f>F5*Engine!$D$31</f>
        <v>138139.18635037501</v>
      </c>
      <c r="H5" s="13">
        <f>G5-Engine!$D$60</f>
        <v>6578.05649287501</v>
      </c>
      <c r="I5" s="12">
        <f t="shared" si="1"/>
        <v>4.7619047619047693E-2</v>
      </c>
      <c r="J5" s="28"/>
      <c r="K5" s="28">
        <f t="shared" si="2"/>
        <v>0.05</v>
      </c>
      <c r="L5" s="7">
        <f t="shared" si="3"/>
        <v>1.6095005605561818</v>
      </c>
      <c r="M5" s="7">
        <f t="shared" si="4"/>
        <v>1.7510354461956521</v>
      </c>
    </row>
    <row r="6" spans="1:13" ht="15" customHeight="1">
      <c r="A6" s="32">
        <v>0.1</v>
      </c>
      <c r="B6" s="21">
        <f>Engine!$C$62*(1+$A6)</f>
        <v>1.6861434443921905</v>
      </c>
      <c r="C6" s="13">
        <f>B6*Engine!$C$31</f>
        <v>162669.50849732553</v>
      </c>
      <c r="D6" s="13">
        <f>C6-Engine!$C$60</f>
        <v>14788.137136120495</v>
      </c>
      <c r="E6" s="12">
        <f t="shared" si="0"/>
        <v>9.0909090909090856E-2</v>
      </c>
      <c r="F6" s="21">
        <f>Engine!$D$62*(1+$A6)</f>
        <v>1.8344180864906834</v>
      </c>
      <c r="G6" s="13">
        <f>F6*Engine!$D$31</f>
        <v>144717.24284325002</v>
      </c>
      <c r="H6" s="13">
        <f>G6-Engine!$D$60</f>
        <v>13156.11298575002</v>
      </c>
      <c r="I6" s="12">
        <f t="shared" si="1"/>
        <v>9.0909090909091037E-2</v>
      </c>
      <c r="J6" s="28"/>
      <c r="K6" s="28">
        <f t="shared" si="2"/>
        <v>0.1</v>
      </c>
      <c r="L6" s="7">
        <f t="shared" si="3"/>
        <v>1.6861434443921905</v>
      </c>
      <c r="M6" s="7">
        <f t="shared" si="4"/>
        <v>1.8344180864906834</v>
      </c>
    </row>
    <row r="7" spans="1:13" ht="15" customHeight="1">
      <c r="A7" s="32">
        <v>0.125</v>
      </c>
      <c r="B7" s="21">
        <f>Engine!$C$62*(1+$A7)</f>
        <v>1.7244648863101948</v>
      </c>
      <c r="C7" s="13">
        <f>B7*Engine!$C$31</f>
        <v>166366.54278135565</v>
      </c>
      <c r="D7" s="13">
        <f>C7-Engine!$C$60</f>
        <v>18485.171420150611</v>
      </c>
      <c r="E7" s="12">
        <f t="shared" si="0"/>
        <v>0.11111111111111101</v>
      </c>
      <c r="F7" s="21">
        <f>Engine!$D$62*(1+$A7)</f>
        <v>1.8761094066381987</v>
      </c>
      <c r="G7" s="13">
        <f>F7*Engine!$D$31</f>
        <v>148006.27108968751</v>
      </c>
      <c r="H7" s="13">
        <f>G7-Engine!$D$60</f>
        <v>16445.14123218751</v>
      </c>
      <c r="I7" s="12">
        <f t="shared" si="1"/>
        <v>0.11111111111111117</v>
      </c>
      <c r="J7" s="28"/>
      <c r="K7" s="28">
        <f t="shared" si="2"/>
        <v>0.125</v>
      </c>
      <c r="L7" s="7">
        <f t="shared" si="3"/>
        <v>1.7244648863101948</v>
      </c>
      <c r="M7" s="7">
        <f t="shared" si="4"/>
        <v>1.8761094066381987</v>
      </c>
    </row>
    <row r="8" spans="1:13" ht="15" customHeight="1">
      <c r="A8" s="32">
        <v>0.15</v>
      </c>
      <c r="B8" s="21">
        <f>Engine!$C$62*(1+$A8)</f>
        <v>1.762786328228199</v>
      </c>
      <c r="C8" s="13">
        <f>B8*Engine!$C$31</f>
        <v>170063.57706538576</v>
      </c>
      <c r="D8" s="13">
        <f>C8-Engine!$C$60</f>
        <v>22182.205704180727</v>
      </c>
      <c r="E8" s="12">
        <f t="shared" si="0"/>
        <v>0.13043478260869551</v>
      </c>
      <c r="F8" s="21">
        <f>Engine!$D$62*(1+$A8)</f>
        <v>1.917800726785714</v>
      </c>
      <c r="G8" s="13">
        <f>F8*Engine!$D$31</f>
        <v>151295.29933612497</v>
      </c>
      <c r="H8" s="13">
        <f>G8-Engine!$D$60</f>
        <v>19734.169478624972</v>
      </c>
      <c r="I8" s="12">
        <f t="shared" si="1"/>
        <v>0.13043478260869548</v>
      </c>
      <c r="J8" s="28"/>
      <c r="K8" s="28">
        <f t="shared" si="2"/>
        <v>0.15</v>
      </c>
      <c r="L8" s="7">
        <f t="shared" si="3"/>
        <v>1.762786328228199</v>
      </c>
      <c r="M8" s="7">
        <f t="shared" si="4"/>
        <v>1.917800726785714</v>
      </c>
    </row>
    <row r="9" spans="1:13" ht="15" customHeight="1">
      <c r="A9" s="32">
        <v>0.2</v>
      </c>
      <c r="B9" s="21">
        <f>Engine!$C$62*(1+$A9)</f>
        <v>1.8394292120642077</v>
      </c>
      <c r="C9" s="13">
        <f>B9*Engine!$C$31</f>
        <v>177457.64563344602</v>
      </c>
      <c r="D9" s="13">
        <f>C9-Engine!$C$60</f>
        <v>29576.274272240989</v>
      </c>
      <c r="E9" s="12">
        <f t="shared" si="0"/>
        <v>0.16666666666666657</v>
      </c>
      <c r="F9" s="21">
        <f>Engine!$D$62*(1+$A9)</f>
        <v>2.0011833670807451</v>
      </c>
      <c r="G9" s="13">
        <f>F9*Engine!$D$31</f>
        <v>157873.35582899998</v>
      </c>
      <c r="H9" s="13">
        <f>G9-Engine!$D$60</f>
        <v>26312.225971499982</v>
      </c>
      <c r="I9" s="12">
        <f t="shared" si="1"/>
        <v>0.16666666666666657</v>
      </c>
      <c r="J9" s="28"/>
      <c r="K9" s="28">
        <f t="shared" si="2"/>
        <v>0.2</v>
      </c>
      <c r="L9" s="7">
        <f t="shared" si="3"/>
        <v>1.8394292120642077</v>
      </c>
      <c r="M9" s="7">
        <f t="shared" si="4"/>
        <v>2.0011833670807451</v>
      </c>
    </row>
    <row r="10" spans="1:13" ht="15" customHeight="1">
      <c r="A10" s="32">
        <v>0.25</v>
      </c>
      <c r="B10" s="21">
        <f>Engine!$C$62*(1+$A10)</f>
        <v>1.9160720959002164</v>
      </c>
      <c r="C10" s="13">
        <f>B10*Engine!$C$31</f>
        <v>184851.71420150629</v>
      </c>
      <c r="D10" s="13">
        <f>C10-Engine!$C$60</f>
        <v>36970.342840301251</v>
      </c>
      <c r="E10" s="12">
        <f t="shared" si="0"/>
        <v>0.19999999999999996</v>
      </c>
      <c r="F10" s="21">
        <f>Engine!$D$62*(1+$A10)</f>
        <v>2.0845660073757761</v>
      </c>
      <c r="G10" s="13">
        <f>F10*Engine!$D$31</f>
        <v>164451.41232187499</v>
      </c>
      <c r="H10" s="13">
        <f>G10-Engine!$D$60</f>
        <v>32890.282464374992</v>
      </c>
      <c r="I10" s="12">
        <f t="shared" si="1"/>
        <v>0.19999999999999996</v>
      </c>
      <c r="J10" s="28"/>
      <c r="K10" s="28">
        <f t="shared" si="2"/>
        <v>0.25</v>
      </c>
      <c r="L10" s="7">
        <f t="shared" si="3"/>
        <v>1.9160720959002164</v>
      </c>
      <c r="M10" s="7">
        <f t="shared" si="4"/>
        <v>2.0845660073757761</v>
      </c>
    </row>
    <row r="11" spans="1:13" ht="15" customHeight="1">
      <c r="A11" s="32">
        <v>0.3</v>
      </c>
      <c r="B11" s="21">
        <f>Engine!$C$62*(1+$A11)</f>
        <v>1.9927149797362251</v>
      </c>
      <c r="C11" s="13">
        <f>B11*Engine!$C$31</f>
        <v>192245.78276956655</v>
      </c>
      <c r="D11" s="13">
        <f>C11-Engine!$C$60</f>
        <v>44364.411408361513</v>
      </c>
      <c r="E11" s="12">
        <f t="shared" si="0"/>
        <v>0.23076923076923078</v>
      </c>
      <c r="F11" s="21">
        <f>Engine!$D$62*(1+$A11)</f>
        <v>2.1679486476708076</v>
      </c>
      <c r="G11" s="13">
        <f>F11*Engine!$D$31</f>
        <v>171029.46881475003</v>
      </c>
      <c r="H11" s="13">
        <f>G11-Engine!$D$60</f>
        <v>39468.338957250031</v>
      </c>
      <c r="I11" s="12">
        <f t="shared" si="1"/>
        <v>0.23076923076923092</v>
      </c>
      <c r="J11" s="28"/>
      <c r="K11" s="28">
        <f t="shared" si="2"/>
        <v>0.3</v>
      </c>
      <c r="L11" s="7">
        <f t="shared" si="3"/>
        <v>1.9927149797362251</v>
      </c>
      <c r="M11" s="7">
        <f t="shared" si="4"/>
        <v>2.1679486476708076</v>
      </c>
    </row>
    <row r="12" spans="1:13" ht="15" customHeight="1">
      <c r="A12" s="32">
        <v>0.35</v>
      </c>
      <c r="B12" s="21">
        <f>Engine!$C$62*(1+$A12)</f>
        <v>2.0693578635722338</v>
      </c>
      <c r="C12" s="13">
        <f>B12*Engine!$C$31</f>
        <v>199639.85133762681</v>
      </c>
      <c r="D12" s="13">
        <f>C12-Engine!$C$60</f>
        <v>51758.479976421775</v>
      </c>
      <c r="E12" s="12">
        <f t="shared" si="0"/>
        <v>0.2592592592592593</v>
      </c>
      <c r="F12" s="21">
        <f>Engine!$D$62*(1+$A12)</f>
        <v>2.2513312879658387</v>
      </c>
      <c r="G12" s="13">
        <f>F12*Engine!$D$31</f>
        <v>177607.52530762501</v>
      </c>
      <c r="H12" s="13">
        <f>G12-Engine!$D$60</f>
        <v>46046.395450125012</v>
      </c>
      <c r="I12" s="12">
        <f t="shared" si="1"/>
        <v>0.2592592592592593</v>
      </c>
      <c r="J12" s="28"/>
      <c r="K12" s="28">
        <f t="shared" si="2"/>
        <v>0.35</v>
      </c>
      <c r="L12" s="7">
        <f t="shared" si="3"/>
        <v>2.0693578635722338</v>
      </c>
      <c r="M12" s="7">
        <f t="shared" si="4"/>
        <v>2.2513312879658387</v>
      </c>
    </row>
    <row r="13" spans="1:13" ht="15" customHeight="1">
      <c r="A13" s="32">
        <v>0.4</v>
      </c>
      <c r="B13" s="21">
        <f>Engine!$C$62*(1+$A13)</f>
        <v>2.1460007474082423</v>
      </c>
      <c r="C13" s="13">
        <f>B13*Engine!$C$31</f>
        <v>207033.91990568704</v>
      </c>
      <c r="D13" s="13">
        <f>C13-Engine!$C$60</f>
        <v>59152.548544482008</v>
      </c>
      <c r="E13" s="12">
        <f t="shared" si="0"/>
        <v>0.2857142857142857</v>
      </c>
      <c r="F13" s="21">
        <f>Engine!$D$62*(1+$A13)</f>
        <v>2.3347139282608693</v>
      </c>
      <c r="G13" s="13">
        <f>F13*Engine!$D$31</f>
        <v>184185.58180049999</v>
      </c>
      <c r="H13" s="13">
        <f>G13-Engine!$D$60</f>
        <v>52624.451942999993</v>
      </c>
      <c r="I13" s="12">
        <f t="shared" si="1"/>
        <v>0.2857142857142857</v>
      </c>
      <c r="J13" s="28"/>
      <c r="K13" s="28">
        <f t="shared" si="2"/>
        <v>0.4</v>
      </c>
      <c r="L13" s="7">
        <f t="shared" si="3"/>
        <v>2.1460007474082423</v>
      </c>
      <c r="M13" s="7">
        <f t="shared" si="4"/>
        <v>2.3347139282608693</v>
      </c>
    </row>
    <row r="14" spans="1:13" ht="1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6.25" customHeight="1">
      <c r="A15" s="4" t="s">
        <v>306</v>
      </c>
      <c r="B15" s="4"/>
      <c r="C15" s="4" t="s">
        <v>39</v>
      </c>
      <c r="D15" s="4" t="s">
        <v>40</v>
      </c>
      <c r="E15" s="28"/>
      <c r="F15" s="28"/>
      <c r="G15" s="28"/>
      <c r="H15" s="28"/>
      <c r="I15" s="28"/>
      <c r="J15" s="28"/>
      <c r="K15" s="28"/>
      <c r="L15" s="28"/>
      <c r="M15" s="28"/>
    </row>
    <row r="16" spans="1:13" ht="26.25" customHeight="1">
      <c r="A16" s="28" t="s">
        <v>307</v>
      </c>
      <c r="B16" s="28" t="s">
        <v>78</v>
      </c>
      <c r="C16" s="32">
        <v>0.125</v>
      </c>
      <c r="D16" s="32">
        <v>0.125</v>
      </c>
      <c r="E16" s="28"/>
      <c r="F16" s="28"/>
      <c r="G16" s="28"/>
      <c r="H16" s="28"/>
      <c r="I16" s="28"/>
      <c r="J16" s="28"/>
      <c r="K16" s="28"/>
      <c r="L16" s="28"/>
      <c r="M16" s="28"/>
    </row>
    <row r="17" spans="1:13" ht="15" customHeight="1">
      <c r="A17" s="28" t="s">
        <v>268</v>
      </c>
      <c r="B17" s="28" t="s">
        <v>123</v>
      </c>
      <c r="C17" s="21">
        <f>Engine!$C$62</f>
        <v>1.5328576767201731</v>
      </c>
      <c r="D17" s="21">
        <f>Engine!$D$62</f>
        <v>1.667652805900621</v>
      </c>
      <c r="E17" s="28"/>
      <c r="F17" s="28"/>
      <c r="G17" s="28"/>
      <c r="H17" s="28"/>
      <c r="I17" s="28"/>
      <c r="J17" s="28"/>
      <c r="K17" s="28"/>
      <c r="L17" s="28"/>
      <c r="M17" s="28"/>
    </row>
    <row r="18" spans="1:13" ht="26.25" customHeight="1">
      <c r="A18" s="28" t="s">
        <v>308</v>
      </c>
      <c r="B18" s="28" t="s">
        <v>123</v>
      </c>
      <c r="C18" s="9">
        <f>C17*(1+C16)</f>
        <v>1.7244648863101948</v>
      </c>
      <c r="D18" s="9">
        <f>D17*(1+D16)</f>
        <v>1.8761094066381987</v>
      </c>
      <c r="E18" s="28"/>
      <c r="F18" s="28"/>
      <c r="G18" s="28"/>
      <c r="H18" s="28"/>
      <c r="I18" s="28"/>
      <c r="J18" s="28"/>
      <c r="K18" s="28"/>
      <c r="L18" s="28"/>
      <c r="M18" s="28"/>
    </row>
    <row r="19" spans="1:13" ht="26.25" customHeight="1">
      <c r="A19" s="28" t="s">
        <v>309</v>
      </c>
      <c r="B19" s="28" t="s">
        <v>97</v>
      </c>
      <c r="C19" s="14">
        <f>C18*Engine!$C$31</f>
        <v>166366.54278135565</v>
      </c>
      <c r="D19" s="14">
        <f>D18*Engine!$D$31</f>
        <v>148006.27108968751</v>
      </c>
      <c r="E19" s="28"/>
      <c r="F19" s="28"/>
      <c r="G19" s="28"/>
      <c r="H19" s="28"/>
      <c r="I19" s="28"/>
      <c r="J19" s="28"/>
      <c r="K19" s="28"/>
      <c r="L19" s="28"/>
      <c r="M19" s="28"/>
    </row>
    <row r="20" spans="1:13" ht="15" customHeight="1">
      <c r="A20" s="28" t="s">
        <v>310</v>
      </c>
      <c r="B20" s="28" t="s">
        <v>97</v>
      </c>
      <c r="C20" s="14">
        <f>C19-Engine!$C$60</f>
        <v>18485.171420150611</v>
      </c>
      <c r="D20" s="14">
        <f>D19-Engine!$D$60</f>
        <v>16445.14123218751</v>
      </c>
      <c r="E20" s="28"/>
      <c r="F20" s="28"/>
      <c r="G20" s="28"/>
      <c r="H20" s="28"/>
      <c r="I20" s="28"/>
      <c r="J20" s="28"/>
      <c r="K20" s="28"/>
      <c r="L20" s="28"/>
      <c r="M20" s="28"/>
    </row>
    <row r="21" spans="1:13" ht="26.25" customHeight="1">
      <c r="A21" s="28" t="s">
        <v>311</v>
      </c>
      <c r="B21" s="28" t="s">
        <v>201</v>
      </c>
      <c r="C21" s="10">
        <f>IFERROR(C20/C19,0)</f>
        <v>0.11111111111111101</v>
      </c>
      <c r="D21" s="10">
        <f>IFERROR(D20/D19,0)</f>
        <v>0.11111111111111117</v>
      </c>
      <c r="E21" s="28"/>
      <c r="F21" s="28"/>
      <c r="G21" s="28"/>
      <c r="H21" s="28"/>
      <c r="I21" s="28"/>
      <c r="J21" s="28"/>
      <c r="K21" s="28"/>
      <c r="L21" s="28"/>
      <c r="M21" s="28"/>
    </row>
    <row r="22" spans="1:13" ht="15" customHeight="1">
      <c r="A22" s="28"/>
      <c r="B22" s="28"/>
      <c r="C22" s="12"/>
      <c r="D22" s="12"/>
      <c r="E22" s="28"/>
      <c r="F22" s="28"/>
      <c r="G22" s="28"/>
      <c r="H22" s="28"/>
      <c r="I22" s="28"/>
      <c r="J22" s="28"/>
      <c r="K22" s="28"/>
      <c r="L22" s="28"/>
      <c r="M22" s="28"/>
    </row>
    <row r="23" spans="1:13" ht="26.25" customHeight="1">
      <c r="A23" s="4" t="s">
        <v>312</v>
      </c>
      <c r="B23" s="4"/>
      <c r="C23" s="22" t="s">
        <v>39</v>
      </c>
      <c r="D23" s="22" t="s">
        <v>40</v>
      </c>
      <c r="E23" s="28"/>
      <c r="F23" s="28"/>
      <c r="G23" s="28"/>
      <c r="H23" s="28"/>
      <c r="I23" s="28"/>
      <c r="J23" s="28"/>
      <c r="K23" s="28"/>
      <c r="L23" s="28"/>
      <c r="M23" s="28"/>
    </row>
    <row r="24" spans="1:13" ht="26.25" customHeight="1">
      <c r="A24" s="28" t="s">
        <v>313</v>
      </c>
      <c r="B24" s="28" t="s">
        <v>201</v>
      </c>
      <c r="C24" s="12">
        <f>Engine!$C$27</f>
        <v>0.1</v>
      </c>
      <c r="D24" s="12">
        <f>Engine!$D$27</f>
        <v>0.1</v>
      </c>
      <c r="E24" s="28"/>
      <c r="F24" s="28"/>
      <c r="G24" s="28"/>
      <c r="H24" s="28"/>
      <c r="I24" s="28"/>
      <c r="J24" s="28"/>
      <c r="K24" s="28"/>
      <c r="L24" s="28"/>
      <c r="M24" s="28"/>
    </row>
    <row r="25" spans="1:13" ht="26.25" customHeight="1">
      <c r="A25" s="28" t="s">
        <v>314</v>
      </c>
      <c r="B25" s="28" t="s">
        <v>315</v>
      </c>
      <c r="C25" s="12">
        <f>IFERROR(C24/(1-C24),0)</f>
        <v>0.11111111111111112</v>
      </c>
      <c r="D25" s="12">
        <f>IFERROR(D24/(1-D24),0)</f>
        <v>0.11111111111111112</v>
      </c>
      <c r="E25" s="28"/>
      <c r="F25" s="28"/>
      <c r="G25" s="28"/>
      <c r="H25" s="28"/>
      <c r="I25" s="28"/>
      <c r="J25" s="28"/>
      <c r="K25" s="28"/>
      <c r="L25" s="28"/>
      <c r="M25" s="28"/>
    </row>
    <row r="26" spans="1:13" ht="26.25" customHeight="1">
      <c r="A26" s="28" t="s">
        <v>316</v>
      </c>
      <c r="B26" s="28" t="s">
        <v>123</v>
      </c>
      <c r="C26" s="21">
        <f>Engine!$C$62*(1+C25)</f>
        <v>1.703175196355748</v>
      </c>
      <c r="D26" s="21">
        <f>Engine!$D$62*(1+D25)</f>
        <v>1.8529475621118012</v>
      </c>
      <c r="E26" s="28"/>
      <c r="F26" s="28"/>
      <c r="G26" s="28"/>
      <c r="H26" s="28"/>
      <c r="I26" s="28"/>
      <c r="J26" s="28"/>
      <c r="K26" s="28"/>
      <c r="L26" s="28"/>
      <c r="M26" s="28"/>
    </row>
    <row r="27" spans="1:13" ht="1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8" spans="1:13" ht="15" customHeight="1">
      <c r="A28" s="28" t="s">
        <v>317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1:13" ht="39.5" customHeight="1">
      <c r="A29" s="1" t="s">
        <v>318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66" customHeight="1">
      <c r="A30" s="1" t="s">
        <v>319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92.5" customHeight="1">
      <c r="A31" s="1" t="s">
        <v>320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spans="1:13" ht="26.25" customHeight="1">
      <c r="A33" s="28" t="s">
        <v>321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 spans="1:13" ht="15" customHeight="1">
      <c r="A34" s="4"/>
      <c r="B34" s="4"/>
      <c r="C34" s="4"/>
      <c r="D34" s="4"/>
      <c r="E34" s="4"/>
      <c r="F34" s="28"/>
      <c r="G34" s="28"/>
      <c r="H34" s="28"/>
      <c r="I34" s="28"/>
      <c r="J34" s="28"/>
      <c r="K34" s="28"/>
      <c r="L34" s="28"/>
      <c r="M34" s="28"/>
    </row>
    <row r="35" spans="1:13" ht="15" customHeight="1">
      <c r="A35" s="28" t="s">
        <v>208</v>
      </c>
      <c r="B35" s="28" t="s">
        <v>57</v>
      </c>
      <c r="C35" s="9" t="s">
        <v>39</v>
      </c>
      <c r="D35" s="9" t="s">
        <v>40</v>
      </c>
      <c r="E35" s="1" t="s">
        <v>322</v>
      </c>
      <c r="F35" s="28"/>
      <c r="G35" s="28"/>
      <c r="H35" s="28"/>
      <c r="I35" s="28"/>
      <c r="J35" s="28"/>
      <c r="K35" s="28"/>
      <c r="L35" s="28"/>
      <c r="M35" s="28"/>
    </row>
    <row r="36" spans="1:13" ht="39.5" customHeight="1">
      <c r="A36" s="28" t="s">
        <v>323</v>
      </c>
      <c r="B36" s="28" t="s">
        <v>123</v>
      </c>
      <c r="C36" s="9">
        <f>'Company &amp; Tax Profile'!C35</f>
        <v>1.7244648863101948</v>
      </c>
      <c r="D36" s="9">
        <f>'Company &amp; Tax Profile'!D35</f>
        <v>1.8761094066381987</v>
      </c>
      <c r="E36" s="1" t="s">
        <v>324</v>
      </c>
      <c r="F36" s="28"/>
      <c r="G36" s="28"/>
      <c r="H36" s="28"/>
      <c r="I36" s="28"/>
      <c r="J36" s="28"/>
      <c r="K36" s="28"/>
      <c r="L36" s="28"/>
      <c r="M36" s="28"/>
    </row>
    <row r="37" spans="1:13" ht="26.25" customHeight="1">
      <c r="A37" s="28" t="s">
        <v>125</v>
      </c>
      <c r="B37" s="28" t="s">
        <v>123</v>
      </c>
      <c r="C37" s="14">
        <f>'Company &amp; Tax Profile'!C36</f>
        <v>2.0693578635722338</v>
      </c>
      <c r="D37" s="14">
        <f>'Company &amp; Tax Profile'!D36</f>
        <v>2.2513312879658383</v>
      </c>
      <c r="E37" s="1" t="s">
        <v>325</v>
      </c>
      <c r="F37" s="28"/>
      <c r="G37" s="28"/>
      <c r="H37" s="28"/>
      <c r="I37" s="28"/>
      <c r="J37" s="28"/>
      <c r="K37" s="28"/>
      <c r="L37" s="28"/>
      <c r="M37" s="28"/>
    </row>
    <row r="38" spans="1:13" ht="26.25" customHeight="1">
      <c r="A38" s="28" t="s">
        <v>130</v>
      </c>
      <c r="B38" s="28" t="s">
        <v>97</v>
      </c>
      <c r="C38" s="14">
        <f>'Company &amp; Tax Profile'!C38</f>
        <v>166366.54278135565</v>
      </c>
      <c r="D38" s="14">
        <v>142669.072407375</v>
      </c>
      <c r="E38" s="1" t="s">
        <v>326</v>
      </c>
      <c r="F38" s="28"/>
      <c r="G38" s="28"/>
      <c r="H38" s="28"/>
      <c r="I38" s="28"/>
      <c r="J38" s="28"/>
      <c r="K38" s="28"/>
      <c r="L38" s="28"/>
      <c r="M38" s="28"/>
    </row>
    <row r="39" spans="1:13" ht="26.25" customHeight="1">
      <c r="A39" s="28" t="s">
        <v>132</v>
      </c>
      <c r="B39" s="28" t="s">
        <v>97</v>
      </c>
      <c r="C39" s="14">
        <v>33752.645194950281</v>
      </c>
      <c r="D39" s="14">
        <v>29960.50520554875</v>
      </c>
      <c r="E39" s="1" t="s">
        <v>327</v>
      </c>
      <c r="F39" s="28"/>
      <c r="G39" s="28"/>
      <c r="H39" s="28"/>
      <c r="I39" s="28"/>
      <c r="J39" s="28"/>
      <c r="K39" s="28"/>
      <c r="L39" s="28"/>
      <c r="M39" s="28"/>
    </row>
    <row r="40" spans="1:13" ht="26.25" customHeight="1">
      <c r="A40" s="28" t="s">
        <v>134</v>
      </c>
      <c r="B40" s="28" t="s">
        <v>97</v>
      </c>
      <c r="C40" s="14">
        <v>194479.52707566589</v>
      </c>
      <c r="D40" s="14">
        <v>172629.57761292369</v>
      </c>
      <c r="E40" s="1" t="s">
        <v>328</v>
      </c>
      <c r="F40" s="28"/>
      <c r="G40" s="28"/>
      <c r="H40" s="28"/>
      <c r="I40" s="28"/>
      <c r="J40" s="28"/>
      <c r="K40" s="28"/>
      <c r="L40" s="28"/>
      <c r="M40" s="28"/>
    </row>
    <row r="41" spans="1:13" ht="39.5" customHeight="1">
      <c r="A41" s="28" t="s">
        <v>136</v>
      </c>
      <c r="B41" s="28" t="s">
        <v>97</v>
      </c>
      <c r="C41" s="14">
        <v>17858.54243119061</v>
      </c>
      <c r="D41" s="14">
        <v>15852.119156375</v>
      </c>
      <c r="E41" s="1" t="s">
        <v>329</v>
      </c>
      <c r="F41" s="28"/>
      <c r="G41" s="28"/>
      <c r="H41" s="28"/>
      <c r="I41" s="28"/>
      <c r="J41" s="28"/>
      <c r="K41" s="28"/>
      <c r="L41" s="28"/>
      <c r="M41" s="28"/>
    </row>
    <row r="42" spans="1:13" ht="26.25" customHeight="1">
      <c r="A42" s="28" t="s">
        <v>138</v>
      </c>
      <c r="B42" s="28" t="s">
        <v>97</v>
      </c>
      <c r="C42" s="14">
        <v>2857.3667889904982</v>
      </c>
      <c r="D42" s="14">
        <v>2536.3390650200008</v>
      </c>
      <c r="E42" s="1" t="s">
        <v>330</v>
      </c>
      <c r="F42" s="28"/>
      <c r="G42" s="28"/>
      <c r="H42" s="28"/>
      <c r="I42" s="28"/>
      <c r="J42" s="28"/>
      <c r="K42" s="28"/>
      <c r="L42" s="28"/>
      <c r="M42" s="28"/>
    </row>
    <row r="43" spans="1:13" ht="26.25" customHeight="1">
      <c r="A43" s="28" t="s">
        <v>139</v>
      </c>
      <c r="B43" s="28" t="s">
        <v>97</v>
      </c>
      <c r="C43" s="14">
        <v>15001.175642200111</v>
      </c>
      <c r="D43" s="14">
        <v>13315.780091355</v>
      </c>
      <c r="E43" s="1" t="s">
        <v>331</v>
      </c>
      <c r="F43" s="28"/>
      <c r="G43" s="28"/>
      <c r="H43" s="28"/>
      <c r="I43" s="28"/>
      <c r="J43" s="28"/>
      <c r="K43" s="28"/>
      <c r="L43" s="28"/>
      <c r="M43" s="28"/>
    </row>
    <row r="44" spans="1:13" ht="26.25" customHeight="1">
      <c r="A44" s="28" t="s">
        <v>141</v>
      </c>
      <c r="B44" s="28" t="s">
        <v>201</v>
      </c>
      <c r="C44" s="10">
        <v>0.11111111111111099</v>
      </c>
      <c r="D44" s="10">
        <v>0.1111111111111111</v>
      </c>
      <c r="E44" s="1" t="s">
        <v>332</v>
      </c>
      <c r="F44" s="28"/>
      <c r="G44" s="28"/>
      <c r="H44" s="28"/>
      <c r="I44" s="28"/>
      <c r="J44" s="28"/>
      <c r="K44" s="28"/>
      <c r="L44" s="28"/>
      <c r="M44" s="28"/>
    </row>
    <row r="45" spans="1:13" ht="39.5" customHeight="1">
      <c r="A45" s="28" t="s">
        <v>143</v>
      </c>
      <c r="B45" s="28" t="s">
        <v>201</v>
      </c>
      <c r="C45" s="10">
        <v>9.3333333333333254E-2</v>
      </c>
      <c r="D45" s="10">
        <v>9.3333333333333338E-2</v>
      </c>
      <c r="E45" s="1" t="s">
        <v>333</v>
      </c>
      <c r="F45" s="28"/>
      <c r="G45" s="28"/>
      <c r="H45" s="28"/>
      <c r="I45" s="28"/>
      <c r="J45" s="28"/>
      <c r="K45" s="28"/>
      <c r="L45" s="28"/>
      <c r="M45" s="28"/>
    </row>
    <row r="46" spans="1:13" ht="26.25" customHeight="1">
      <c r="A46" s="28" t="s">
        <v>334</v>
      </c>
      <c r="B46" s="28" t="s">
        <v>123</v>
      </c>
      <c r="C46" s="9">
        <v>1.6792295155743251</v>
      </c>
      <c r="D46" s="9">
        <v>1.822808551563321</v>
      </c>
      <c r="E46" s="1" t="s">
        <v>325</v>
      </c>
      <c r="F46" s="28"/>
      <c r="G46" s="28"/>
      <c r="H46" s="28"/>
      <c r="I46" s="28"/>
      <c r="J46" s="28"/>
      <c r="K46" s="28"/>
      <c r="L46" s="28"/>
      <c r="M46" s="28"/>
    </row>
  </sheetData>
  <sheetProtection sheet="1" objects="1" scenarios="1" formatCells="0" formatColumns="0" formatRows="0" sort="0" autoFilter="0"/>
  <mergeCells count="1">
    <mergeCell ref="A1:M1"/>
  </mergeCells>
  <dataValidations count="1">
    <dataValidation type="list" showInputMessage="1" promptTitle="Selected markup" prompt="Choose markup over break-even. You may also enter a custom % if needed." sqref="C16:D16" xr:uid="{00000000-0002-0000-0400-000000000000}">
      <formula1>"0,0.05,0.1,0.125,0.15,0.2,0.25,0.3,0.35,0.4"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7"/>
  <sheetViews>
    <sheetView showGridLines="0" workbookViewId="0">
      <selection sqref="A1:K1"/>
    </sheetView>
  </sheetViews>
  <sheetFormatPr baseColWidth="10" defaultColWidth="8.83203125" defaultRowHeight="14"/>
  <cols>
    <col min="1" max="1" width="24" customWidth="1"/>
    <col min="2" max="8" width="16" customWidth="1"/>
    <col min="9" max="10" width="18" customWidth="1"/>
    <col min="11" max="11" width="20" customWidth="1"/>
  </cols>
  <sheetData>
    <row r="1" spans="1:11" ht="38.5" customHeight="1">
      <c r="A1" s="42" t="s">
        <v>335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15" customHeight="1">
      <c r="A2" s="28" t="s">
        <v>336</v>
      </c>
      <c r="B2" s="33" t="s">
        <v>39</v>
      </c>
      <c r="C2" s="28"/>
      <c r="D2" s="28"/>
      <c r="E2" s="28"/>
      <c r="F2" s="28"/>
      <c r="G2" s="28"/>
      <c r="H2" s="28"/>
      <c r="I2" s="28"/>
      <c r="J2" s="11" t="s">
        <v>337</v>
      </c>
      <c r="K2" s="11">
        <f>MATCH($B$2,Engine!$C$1:$D$1,0)</f>
        <v>1</v>
      </c>
    </row>
    <row r="3" spans="1:11" ht="15" customHeight="1">
      <c r="A3" s="28"/>
      <c r="B3" s="28"/>
      <c r="C3" s="28"/>
      <c r="D3" s="28"/>
      <c r="E3" s="28"/>
      <c r="F3" s="28"/>
      <c r="G3" s="28"/>
      <c r="H3" s="28"/>
      <c r="I3" s="28"/>
      <c r="J3" s="11" t="s">
        <v>211</v>
      </c>
      <c r="K3" s="11">
        <f>INDEX(Engine!$C$3:$D$3,1,$K$2)</f>
        <v>113100.00000000001</v>
      </c>
    </row>
    <row r="4" spans="1:11" ht="15" customHeight="1">
      <c r="A4" s="28" t="s">
        <v>338</v>
      </c>
      <c r="B4" s="28"/>
      <c r="C4" s="28"/>
      <c r="D4" s="28"/>
      <c r="E4" s="28"/>
      <c r="F4" s="28"/>
      <c r="G4" s="28"/>
      <c r="H4" s="28"/>
      <c r="I4" s="28"/>
      <c r="J4" s="11" t="s">
        <v>339</v>
      </c>
      <c r="K4" s="11">
        <f>INDEX(Engine!$C$42:$D$42,1,$K$2)</f>
        <v>0.60441861715229894</v>
      </c>
    </row>
    <row r="5" spans="1:11" ht="15" customHeight="1">
      <c r="A5" s="2" t="s">
        <v>340</v>
      </c>
      <c r="B5" s="34">
        <v>1.2</v>
      </c>
      <c r="C5" s="34">
        <v>1.4</v>
      </c>
      <c r="D5" s="34">
        <v>1.6</v>
      </c>
      <c r="E5" s="34">
        <v>1.8</v>
      </c>
      <c r="F5" s="34">
        <v>2</v>
      </c>
      <c r="G5" s="34">
        <v>2.2000000000000002</v>
      </c>
      <c r="H5" s="34">
        <v>2.4</v>
      </c>
      <c r="I5" s="28"/>
      <c r="J5" s="11" t="s">
        <v>341</v>
      </c>
      <c r="K5" s="11">
        <f>INDEX(Engine!$C$57:$D$57,1,$K$2)</f>
        <v>79521.625761280011</v>
      </c>
    </row>
    <row r="6" spans="1:11" ht="15" customHeight="1">
      <c r="A6" s="29">
        <v>0.65</v>
      </c>
      <c r="B6" s="23">
        <f t="shared" ref="B6:H12" si="0">B$5*$K$3*$A6-($K$5+$K$4*$K$3)</f>
        <v>-59663.371361205034</v>
      </c>
      <c r="C6" s="23">
        <f t="shared" si="0"/>
        <v>-44960.371361205034</v>
      </c>
      <c r="D6" s="23">
        <f t="shared" si="0"/>
        <v>-30257.371361205005</v>
      </c>
      <c r="E6" s="23">
        <f t="shared" si="0"/>
        <v>-15554.371361205005</v>
      </c>
      <c r="F6" s="23">
        <f t="shared" si="0"/>
        <v>-851.37136120500509</v>
      </c>
      <c r="G6" s="23">
        <f t="shared" si="0"/>
        <v>13851.628638794995</v>
      </c>
      <c r="H6" s="23">
        <f t="shared" si="0"/>
        <v>28554.628638794966</v>
      </c>
      <c r="I6" s="28"/>
      <c r="J6" s="11" t="s">
        <v>165</v>
      </c>
      <c r="K6" s="11">
        <f>INDEX(Engine!$C$8:$D$8,1,$K$2)</f>
        <v>0.85299999999999998</v>
      </c>
    </row>
    <row r="7" spans="1:11" ht="15" customHeight="1">
      <c r="A7" s="35">
        <v>0.7</v>
      </c>
      <c r="B7" s="13">
        <f t="shared" si="0"/>
        <v>-52877.371361205034</v>
      </c>
      <c r="C7" s="13">
        <f t="shared" si="0"/>
        <v>-37043.371361205034</v>
      </c>
      <c r="D7" s="13">
        <f t="shared" si="0"/>
        <v>-21209.37136120502</v>
      </c>
      <c r="E7" s="13">
        <f t="shared" si="0"/>
        <v>-5375.3713612050342</v>
      </c>
      <c r="F7" s="13">
        <f t="shared" si="0"/>
        <v>10458.628638794966</v>
      </c>
      <c r="G7" s="13">
        <f t="shared" si="0"/>
        <v>26292.628638794995</v>
      </c>
      <c r="H7" s="13">
        <f t="shared" si="0"/>
        <v>42126.628638794966</v>
      </c>
      <c r="I7" s="28"/>
      <c r="J7" s="11" t="s">
        <v>342</v>
      </c>
      <c r="K7" s="11">
        <f>INDEX(Engine!$C$62:$D$62,1,$K$2)</f>
        <v>1.5328576767201731</v>
      </c>
    </row>
    <row r="8" spans="1:11" ht="15" customHeight="1">
      <c r="A8" s="35">
        <v>0.75</v>
      </c>
      <c r="B8" s="13">
        <f t="shared" si="0"/>
        <v>-46091.371361205034</v>
      </c>
      <c r="C8" s="13">
        <f t="shared" si="0"/>
        <v>-29126.371361205034</v>
      </c>
      <c r="D8" s="13">
        <f t="shared" si="0"/>
        <v>-12161.371361205005</v>
      </c>
      <c r="E8" s="13">
        <f t="shared" si="0"/>
        <v>4803.6286387949949</v>
      </c>
      <c r="F8" s="13">
        <f t="shared" si="0"/>
        <v>21768.628638794995</v>
      </c>
      <c r="G8" s="13">
        <f t="shared" si="0"/>
        <v>38733.628638795024</v>
      </c>
      <c r="H8" s="13">
        <f t="shared" si="0"/>
        <v>55698.628638794966</v>
      </c>
      <c r="I8" s="28"/>
      <c r="J8" s="11" t="s">
        <v>343</v>
      </c>
      <c r="K8" s="11">
        <f>INDEX(Engine!$C$63:$D$63,1,$K$2)</f>
        <v>1.703175196355748</v>
      </c>
    </row>
    <row r="9" spans="1:11" ht="26.25" customHeight="1">
      <c r="A9" s="35">
        <v>0.8</v>
      </c>
      <c r="B9" s="13">
        <f t="shared" si="0"/>
        <v>-39305.371361205034</v>
      </c>
      <c r="C9" s="13">
        <f t="shared" si="0"/>
        <v>-21209.371361205034</v>
      </c>
      <c r="D9" s="13">
        <f t="shared" si="0"/>
        <v>-3113.3713612050051</v>
      </c>
      <c r="E9" s="13">
        <f t="shared" si="0"/>
        <v>14982.628638794995</v>
      </c>
      <c r="F9" s="13">
        <f t="shared" si="0"/>
        <v>33078.628638794995</v>
      </c>
      <c r="G9" s="13">
        <f t="shared" si="0"/>
        <v>51174.628638795024</v>
      </c>
      <c r="H9" s="13">
        <f t="shared" si="0"/>
        <v>69270.628638794966</v>
      </c>
      <c r="I9" s="28"/>
      <c r="J9" s="11" t="s">
        <v>344</v>
      </c>
      <c r="K9" s="11">
        <f>INDEX(Engine!$C$28:$D$28,1,$K$2)</f>
        <v>1.7244648863101948</v>
      </c>
    </row>
    <row r="10" spans="1:11" ht="15" customHeight="1">
      <c r="A10" s="35">
        <v>0.85</v>
      </c>
      <c r="B10" s="13">
        <f t="shared" si="0"/>
        <v>-32519.371361205034</v>
      </c>
      <c r="C10" s="13">
        <f t="shared" si="0"/>
        <v>-13292.371361205034</v>
      </c>
      <c r="D10" s="13">
        <f t="shared" si="0"/>
        <v>5934.6286387949949</v>
      </c>
      <c r="E10" s="13">
        <f t="shared" si="0"/>
        <v>25161.628638794995</v>
      </c>
      <c r="F10" s="13">
        <f t="shared" si="0"/>
        <v>44388.628638794995</v>
      </c>
      <c r="G10" s="13">
        <f t="shared" si="0"/>
        <v>63615.628638795024</v>
      </c>
      <c r="H10" s="13">
        <f t="shared" si="0"/>
        <v>82842.628638794966</v>
      </c>
      <c r="I10" s="28"/>
      <c r="J10" s="11" t="s">
        <v>274</v>
      </c>
      <c r="K10" s="11">
        <f>INDEX(Engine!$C$65:$D$65,1,$K$2)</f>
        <v>18485.171420150611</v>
      </c>
    </row>
    <row r="11" spans="1:11" ht="15" customHeight="1">
      <c r="A11" s="35">
        <v>0.9</v>
      </c>
      <c r="B11" s="13">
        <f t="shared" si="0"/>
        <v>-25733.371361205034</v>
      </c>
      <c r="C11" s="13">
        <f t="shared" si="0"/>
        <v>-5375.3713612050342</v>
      </c>
      <c r="D11" s="13">
        <f t="shared" si="0"/>
        <v>14982.628638794995</v>
      </c>
      <c r="E11" s="13">
        <f t="shared" si="0"/>
        <v>35340.628638794995</v>
      </c>
      <c r="F11" s="13">
        <f t="shared" si="0"/>
        <v>55698.628638794995</v>
      </c>
      <c r="G11" s="13">
        <f t="shared" si="0"/>
        <v>76056.628638795024</v>
      </c>
      <c r="H11" s="13">
        <f t="shared" si="0"/>
        <v>96414.628638794966</v>
      </c>
      <c r="I11" s="28"/>
      <c r="J11" s="28"/>
      <c r="K11" s="28"/>
    </row>
    <row r="12" spans="1:11" ht="15" customHeight="1">
      <c r="A12" s="35">
        <v>0.95</v>
      </c>
      <c r="B12" s="13">
        <f t="shared" si="0"/>
        <v>-18947.371361205034</v>
      </c>
      <c r="C12" s="13">
        <f t="shared" si="0"/>
        <v>2541.6286387949658</v>
      </c>
      <c r="D12" s="13">
        <f t="shared" si="0"/>
        <v>24030.628638794995</v>
      </c>
      <c r="E12" s="13">
        <f t="shared" si="0"/>
        <v>45519.628638794995</v>
      </c>
      <c r="F12" s="13">
        <f t="shared" si="0"/>
        <v>67008.628638794995</v>
      </c>
      <c r="G12" s="13">
        <f t="shared" si="0"/>
        <v>88497.628638795024</v>
      </c>
      <c r="H12" s="13">
        <f t="shared" si="0"/>
        <v>109986.62863879497</v>
      </c>
      <c r="I12" s="28"/>
      <c r="J12" s="28"/>
      <c r="K12" s="28"/>
    </row>
    <row r="13" spans="1:11" ht="1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spans="1:11" ht="26.25" customHeight="1">
      <c r="A14" s="28" t="s">
        <v>345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spans="1:11" ht="15" customHeight="1">
      <c r="A15" s="2" t="s">
        <v>346</v>
      </c>
      <c r="B15" s="2" t="s">
        <v>347</v>
      </c>
      <c r="C15" s="2" t="s">
        <v>301</v>
      </c>
      <c r="D15" s="28"/>
      <c r="E15" s="28"/>
      <c r="F15" s="28"/>
      <c r="G15" s="28"/>
      <c r="H15" s="28"/>
      <c r="I15" s="28"/>
      <c r="J15" s="28"/>
      <c r="K15" s="28"/>
    </row>
    <row r="16" spans="1:11" ht="15" customHeight="1">
      <c r="A16" s="36">
        <v>1.2</v>
      </c>
      <c r="B16" s="13">
        <f>$A16*Engine!$C$3*Engine!$C$8-(Engine!$C$57+Engine!$C$42*Engine!$C$3)</f>
        <v>-32112.211361205031</v>
      </c>
      <c r="C16" s="13">
        <f>$A16*Engine!$D$3*Engine!$D$8-(Engine!$D$57+Engine!$D$42*Engine!$D$3)</f>
        <v>-36893.129857499996</v>
      </c>
      <c r="D16" s="28"/>
      <c r="E16" s="28"/>
      <c r="F16" s="28"/>
      <c r="G16" s="28"/>
      <c r="H16" s="28"/>
      <c r="I16" s="28"/>
      <c r="J16" s="28"/>
      <c r="K16" s="28"/>
    </row>
    <row r="17" spans="1:11" ht="15" customHeight="1">
      <c r="A17" s="36">
        <v>1.3</v>
      </c>
      <c r="B17" s="13">
        <f>$A17*Engine!$C$3*Engine!$C$8-(Engine!$C$57+Engine!$C$42*Engine!$C$3)</f>
        <v>-22464.781361205009</v>
      </c>
      <c r="C17" s="13">
        <f>$A17*Engine!$D$3*Engine!$D$8-(Engine!$D$57+Engine!$D$42*Engine!$D$3)</f>
        <v>-29004.129857499996</v>
      </c>
      <c r="D17" s="28"/>
      <c r="E17" s="28"/>
      <c r="F17" s="28"/>
      <c r="G17" s="28"/>
      <c r="H17" s="28"/>
      <c r="I17" s="28"/>
      <c r="J17" s="28"/>
      <c r="K17" s="28"/>
    </row>
    <row r="18" spans="1:11" ht="15" customHeight="1">
      <c r="A18" s="36">
        <v>1.4</v>
      </c>
      <c r="B18" s="13">
        <f>$A18*Engine!$C$3*Engine!$C$8-(Engine!$C$57+Engine!$C$42*Engine!$C$3)</f>
        <v>-12817.351361205045</v>
      </c>
      <c r="C18" s="13">
        <f>$A18*Engine!$D$3*Engine!$D$8-(Engine!$D$57+Engine!$D$42*Engine!$D$3)</f>
        <v>-21115.129857499996</v>
      </c>
      <c r="D18" s="28"/>
      <c r="E18" s="28"/>
      <c r="F18" s="28"/>
      <c r="G18" s="28"/>
      <c r="H18" s="28"/>
      <c r="I18" s="28"/>
      <c r="J18" s="28"/>
      <c r="K18" s="28"/>
    </row>
    <row r="19" spans="1:11" ht="15" customHeight="1">
      <c r="A19" s="36">
        <v>1.5</v>
      </c>
      <c r="B19" s="13">
        <f>$A19*Engine!$C$3*Engine!$C$8-(Engine!$C$57+Engine!$C$42*Engine!$C$3)</f>
        <v>-3169.9213612050225</v>
      </c>
      <c r="C19" s="13">
        <f>$A19*Engine!$D$3*Engine!$D$8-(Engine!$D$57+Engine!$D$42*Engine!$D$3)</f>
        <v>-13226.129857499996</v>
      </c>
      <c r="D19" s="28"/>
      <c r="E19" s="28"/>
      <c r="F19" s="28"/>
      <c r="G19" s="28"/>
      <c r="H19" s="28"/>
      <c r="I19" s="28"/>
      <c r="J19" s="28"/>
      <c r="K19" s="28"/>
    </row>
    <row r="20" spans="1:11" ht="15" customHeight="1">
      <c r="A20" s="36">
        <v>1.6</v>
      </c>
      <c r="B20" s="13">
        <f>$A20*Engine!$C$3*Engine!$C$8-(Engine!$C$57+Engine!$C$42*Engine!$C$3)</f>
        <v>6477.5086387949996</v>
      </c>
      <c r="C20" s="13">
        <f>$A20*Engine!$D$3*Engine!$D$8-(Engine!$D$57+Engine!$D$42*Engine!$D$3)</f>
        <v>-5337.1298574999819</v>
      </c>
      <c r="D20" s="28"/>
      <c r="E20" s="28"/>
      <c r="F20" s="28"/>
      <c r="G20" s="28"/>
      <c r="H20" s="28"/>
      <c r="I20" s="28"/>
      <c r="J20" s="28"/>
      <c r="K20" s="28"/>
    </row>
    <row r="21" spans="1:11" ht="15" customHeight="1">
      <c r="A21" s="36">
        <v>1.7</v>
      </c>
      <c r="B21" s="13">
        <f>$A21*Engine!$C$3*Engine!$C$8-(Engine!$C$57+Engine!$C$42*Engine!$C$3)</f>
        <v>16124.938638794993</v>
      </c>
      <c r="C21" s="13">
        <f>$A21*Engine!$D$3*Engine!$D$8-(Engine!$D$57+Engine!$D$42*Engine!$D$3)</f>
        <v>2551.8701425000036</v>
      </c>
      <c r="D21" s="28"/>
      <c r="E21" s="28"/>
      <c r="F21" s="28"/>
      <c r="G21" s="28"/>
      <c r="H21" s="28"/>
      <c r="I21" s="28"/>
      <c r="J21" s="28"/>
      <c r="K21" s="28"/>
    </row>
    <row r="22" spans="1:11" ht="15" customHeight="1">
      <c r="A22" s="36">
        <v>1.8</v>
      </c>
      <c r="B22" s="13">
        <f>$A22*Engine!$C$3*Engine!$C$8-(Engine!$C$57+Engine!$C$42*Engine!$C$3)</f>
        <v>25772.368638794986</v>
      </c>
      <c r="C22" s="13">
        <f>$A22*Engine!$D$3*Engine!$D$8-(Engine!$D$57+Engine!$D$42*Engine!$D$3)</f>
        <v>10440.870142500004</v>
      </c>
      <c r="D22" s="28"/>
      <c r="E22" s="28"/>
      <c r="F22" s="28"/>
      <c r="G22" s="28"/>
      <c r="H22" s="28"/>
      <c r="I22" s="28"/>
      <c r="J22" s="28"/>
      <c r="K22" s="28"/>
    </row>
    <row r="23" spans="1:11" ht="15" customHeight="1">
      <c r="A23" s="36">
        <v>1.9</v>
      </c>
      <c r="B23" s="13">
        <f>$A23*Engine!$C$3*Engine!$C$8-(Engine!$C$57+Engine!$C$42*Engine!$C$3)</f>
        <v>35419.798638794979</v>
      </c>
      <c r="C23" s="13">
        <f>$A23*Engine!$D$3*Engine!$D$8-(Engine!$D$57+Engine!$D$42*Engine!$D$3)</f>
        <v>18329.870142500004</v>
      </c>
      <c r="D23" s="28"/>
      <c r="E23" s="28"/>
      <c r="F23" s="28"/>
      <c r="G23" s="28"/>
      <c r="H23" s="28"/>
      <c r="I23" s="28"/>
      <c r="J23" s="28"/>
      <c r="K23" s="28"/>
    </row>
    <row r="24" spans="1:11" ht="15" customHeight="1">
      <c r="A24" s="36">
        <v>2</v>
      </c>
      <c r="B24" s="13">
        <f>$A24*Engine!$C$3*Engine!$C$8-(Engine!$C$57+Engine!$C$42*Engine!$C$3)</f>
        <v>45067.228638795001</v>
      </c>
      <c r="C24" s="13">
        <f>$A24*Engine!$D$3*Engine!$D$8-(Engine!$D$57+Engine!$D$42*Engine!$D$3)</f>
        <v>26218.870142500004</v>
      </c>
      <c r="D24" s="28"/>
      <c r="E24" s="28"/>
      <c r="F24" s="28"/>
      <c r="G24" s="28"/>
      <c r="H24" s="28"/>
      <c r="I24" s="28"/>
      <c r="J24" s="28"/>
      <c r="K24" s="28"/>
    </row>
    <row r="25" spans="1:11" ht="15" customHeight="1">
      <c r="A25" s="36">
        <v>2.1</v>
      </c>
      <c r="B25" s="13">
        <f>$A25*Engine!$C$3*Engine!$C$8-(Engine!$C$57+Engine!$C$42*Engine!$C$3)</f>
        <v>54714.658638794994</v>
      </c>
      <c r="C25" s="13">
        <f>$A25*Engine!$D$3*Engine!$D$8-(Engine!$D$57+Engine!$D$42*Engine!$D$3)</f>
        <v>34107.870142500004</v>
      </c>
      <c r="D25" s="28"/>
      <c r="E25" s="28"/>
      <c r="F25" s="28"/>
      <c r="G25" s="28"/>
      <c r="H25" s="28"/>
      <c r="I25" s="28"/>
      <c r="J25" s="28"/>
      <c r="K25" s="28"/>
    </row>
    <row r="26" spans="1:11" ht="15" customHeight="1">
      <c r="A26" s="36">
        <v>2.2000000000000002</v>
      </c>
      <c r="B26" s="13">
        <f>$A26*Engine!$C$3*Engine!$C$8-(Engine!$C$57+Engine!$C$42*Engine!$C$3)</f>
        <v>64362.088638795016</v>
      </c>
      <c r="C26" s="13">
        <f>$A26*Engine!$D$3*Engine!$D$8-(Engine!$D$57+Engine!$D$42*Engine!$D$3)</f>
        <v>41996.870142500033</v>
      </c>
      <c r="D26" s="28"/>
      <c r="E26" s="28"/>
      <c r="F26" s="28"/>
      <c r="G26" s="28"/>
      <c r="H26" s="28"/>
      <c r="I26" s="28"/>
      <c r="J26" s="28"/>
      <c r="K26" s="28"/>
    </row>
    <row r="27" spans="1:11" ht="15" customHeight="1">
      <c r="A27" s="36">
        <v>2.2999999999999998</v>
      </c>
      <c r="B27" s="13">
        <f>$A27*Engine!$C$3*Engine!$C$8-(Engine!$C$57+Engine!$C$42*Engine!$C$3)</f>
        <v>74009.518638794951</v>
      </c>
      <c r="C27" s="13">
        <f>$A27*Engine!$D$3*Engine!$D$8-(Engine!$D$57+Engine!$D$42*Engine!$D$3)</f>
        <v>49885.870142500004</v>
      </c>
      <c r="D27" s="28"/>
      <c r="E27" s="28"/>
      <c r="F27" s="28"/>
      <c r="G27" s="28"/>
      <c r="H27" s="28"/>
      <c r="I27" s="28"/>
      <c r="J27" s="28"/>
      <c r="K27" s="28"/>
    </row>
    <row r="28" spans="1:11" ht="15" customHeight="1">
      <c r="A28" s="36">
        <v>2.4</v>
      </c>
      <c r="B28" s="13">
        <f>$A28*Engine!$C$3*Engine!$C$8-(Engine!$C$57+Engine!$C$42*Engine!$C$3)</f>
        <v>83656.948638794973</v>
      </c>
      <c r="C28" s="13">
        <f>$A28*Engine!$D$3*Engine!$D$8-(Engine!$D$57+Engine!$D$42*Engine!$D$3)</f>
        <v>57774.870142500004</v>
      </c>
      <c r="D28" s="28"/>
      <c r="E28" s="28"/>
      <c r="F28" s="28"/>
      <c r="G28" s="28"/>
      <c r="H28" s="28"/>
      <c r="I28" s="28"/>
      <c r="J28" s="28"/>
      <c r="K28" s="28"/>
    </row>
    <row r="29" spans="1:11" ht="1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</row>
    <row r="30" spans="1:11" ht="1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</row>
    <row r="31" spans="1:11" ht="26.25" customHeight="1">
      <c r="A31" s="28" t="s">
        <v>348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</row>
    <row r="32" spans="1:11" ht="118.75" customHeight="1">
      <c r="A32" s="28" t="s">
        <v>349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spans="1:11" ht="26.25" customHeight="1">
      <c r="A33" s="2" t="s">
        <v>350</v>
      </c>
      <c r="B33" s="2" t="s">
        <v>351</v>
      </c>
      <c r="C33" s="2" t="s">
        <v>352</v>
      </c>
      <c r="D33" s="2" t="s">
        <v>353</v>
      </c>
      <c r="E33" s="2" t="s">
        <v>354</v>
      </c>
      <c r="F33" s="2" t="s">
        <v>355</v>
      </c>
      <c r="G33" s="2" t="s">
        <v>356</v>
      </c>
      <c r="H33" s="2" t="s">
        <v>357</v>
      </c>
      <c r="I33" s="2" t="s">
        <v>358</v>
      </c>
      <c r="J33" s="2" t="s">
        <v>359</v>
      </c>
      <c r="K33" s="2" t="s">
        <v>360</v>
      </c>
    </row>
    <row r="34" spans="1:11" ht="52.75" customHeight="1">
      <c r="A34" s="7" t="str">
        <f>'Vehicle Classes'!A5</f>
        <v>Small van</v>
      </c>
      <c r="B34" s="7">
        <f>'Vehicle Classes'!D5</f>
        <v>1.2</v>
      </c>
      <c r="C34" s="12">
        <f>'Vehicle Classes'!F5</f>
        <v>0.89999999999999991</v>
      </c>
      <c r="D34" s="12">
        <f>'Vehicle Classes'!I5</f>
        <v>31499.999999999996</v>
      </c>
      <c r="E34" s="18">
        <f>D34*C34</f>
        <v>28349.999999999993</v>
      </c>
      <c r="F34" s="18">
        <f>'Vehicle Classes'!R5</f>
        <v>59910.117771874997</v>
      </c>
      <c r="G34" s="18">
        <f>'Vehicle Classes'!S5</f>
        <v>1.9019085006944445</v>
      </c>
      <c r="H34" s="18">
        <f>'Vehicle Classes'!T5</f>
        <v>2.1132316674382721</v>
      </c>
      <c r="I34" s="9" t="str">
        <f>'Vehicle Classes'!U5</f>
        <v>Model assumption; validate payload against actual van spec</v>
      </c>
      <c r="J34" s="9" t="str">
        <f>'Vehicle Classes'!V5</f>
        <v>https://climate.ec.europa.eu/system/files/2017-03/hdv_lightweighting_en.pdf</v>
      </c>
      <c r="K34" s="10" t="str">
        <f>'Vehicle Classes'!W5</f>
        <v>Editable</v>
      </c>
    </row>
    <row r="35" spans="1:11" ht="52.75" customHeight="1">
      <c r="A35" s="7" t="str">
        <f>'Vehicle Classes'!A6</f>
        <v>Large van 3.5t</v>
      </c>
      <c r="B35" s="7">
        <f>'Vehicle Classes'!D6</f>
        <v>2</v>
      </c>
      <c r="C35" s="12">
        <f>'Vehicle Classes'!F6</f>
        <v>1.5</v>
      </c>
      <c r="D35" s="12">
        <f>'Vehicle Classes'!I6</f>
        <v>46800</v>
      </c>
      <c r="E35" s="18">
        <f>D35*C35</f>
        <v>70200</v>
      </c>
      <c r="F35" s="18">
        <f>'Vehicle Classes'!R6</f>
        <v>75971.092074999993</v>
      </c>
      <c r="G35" s="18">
        <f>'Vehicle Classes'!S6</f>
        <v>1.6233139332264956</v>
      </c>
      <c r="H35" s="18">
        <f>'Vehicle Classes'!T6</f>
        <v>1.0822092888176638</v>
      </c>
      <c r="I35" s="9" t="str">
        <f>'Vehicle Classes'!U6</f>
        <v>3.5t GVW large van; payload can reach about 2t depending on body/spec</v>
      </c>
      <c r="J35" s="9" t="str">
        <f>'Vehicle Classes'!V6</f>
        <v>https://climate.ec.europa.eu/system/files/2017-03/hdv_lightweighting_en.pdf</v>
      </c>
      <c r="K35" s="10" t="str">
        <f>'Vehicle Classes'!W6</f>
        <v>Editable</v>
      </c>
    </row>
    <row r="36" spans="1:11" ht="52.75" customHeight="1">
      <c r="A36" s="7" t="str">
        <f>'Vehicle Classes'!A7</f>
        <v>Light truck 7.5t</v>
      </c>
      <c r="B36" s="7">
        <f>'Vehicle Classes'!D7</f>
        <v>3.5</v>
      </c>
      <c r="C36" s="12">
        <f>'Vehicle Classes'!F7</f>
        <v>2.8000000000000003</v>
      </c>
      <c r="D36" s="12">
        <f>'Vehicle Classes'!I7</f>
        <v>56250</v>
      </c>
      <c r="E36" s="18">
        <f>D36*C36</f>
        <v>157500.00000000003</v>
      </c>
      <c r="F36" s="18">
        <v>105186.29549999999</v>
      </c>
      <c r="G36" s="18">
        <v>1.8699785866666669</v>
      </c>
      <c r="H36" s="18">
        <v>0.66784949523809511</v>
      </c>
      <c r="I36" s="9" t="s">
        <v>361</v>
      </c>
      <c r="J36" s="9">
        <v>0</v>
      </c>
      <c r="K36" s="10" t="s">
        <v>362</v>
      </c>
    </row>
    <row r="37" spans="1:11" ht="52.75" customHeight="1">
      <c r="A37" s="7" t="s">
        <v>363</v>
      </c>
      <c r="B37" s="7">
        <v>6</v>
      </c>
      <c r="C37" s="12">
        <v>4.92</v>
      </c>
      <c r="D37" s="12">
        <v>62400</v>
      </c>
      <c r="E37" s="18">
        <v>307008</v>
      </c>
      <c r="F37" s="18">
        <v>136873.2334</v>
      </c>
      <c r="G37" s="18">
        <v>2.1934813044871788</v>
      </c>
      <c r="H37" s="18">
        <v>0.44582953343235349</v>
      </c>
      <c r="I37" s="9" t="s">
        <v>364</v>
      </c>
      <c r="J37" s="9">
        <v>0</v>
      </c>
      <c r="K37" s="10" t="s">
        <v>362</v>
      </c>
    </row>
    <row r="38" spans="1:11" ht="52.75" customHeight="1">
      <c r="A38" s="7" t="s">
        <v>365</v>
      </c>
      <c r="B38" s="7">
        <v>9</v>
      </c>
      <c r="C38" s="12">
        <v>7.6499999999999986</v>
      </c>
      <c r="D38" s="12">
        <v>68000</v>
      </c>
      <c r="E38" s="18">
        <v>520199.99999999988</v>
      </c>
      <c r="F38" s="18">
        <v>169093.79014375</v>
      </c>
      <c r="G38" s="18">
        <v>2.4866733844669122</v>
      </c>
      <c r="H38" s="18">
        <v>0.32505534437475969</v>
      </c>
      <c r="I38" s="9" t="s">
        <v>366</v>
      </c>
      <c r="J38" s="9">
        <v>0</v>
      </c>
      <c r="K38" s="10" t="s">
        <v>362</v>
      </c>
    </row>
    <row r="39" spans="1:11" ht="52.75" customHeight="1">
      <c r="A39" s="7" t="s">
        <v>367</v>
      </c>
      <c r="B39" s="7">
        <v>14</v>
      </c>
      <c r="C39" s="12">
        <v>11.9</v>
      </c>
      <c r="D39" s="12">
        <v>73800</v>
      </c>
      <c r="E39" s="18">
        <v>878220</v>
      </c>
      <c r="F39" s="18">
        <v>203308.13703750001</v>
      </c>
      <c r="G39" s="18">
        <v>2.7548528053861792</v>
      </c>
      <c r="H39" s="18">
        <v>0.2315002357467377</v>
      </c>
      <c r="I39" s="9" t="s">
        <v>368</v>
      </c>
      <c r="J39" s="9">
        <v>0</v>
      </c>
      <c r="K39" s="10" t="s">
        <v>362</v>
      </c>
    </row>
    <row r="40" spans="1:11" ht="52.75" customHeight="1">
      <c r="A40" s="7" t="s">
        <v>369</v>
      </c>
      <c r="B40" s="7">
        <v>24</v>
      </c>
      <c r="C40" s="12">
        <v>20.832000000000001</v>
      </c>
      <c r="D40" s="12">
        <v>96474.3</v>
      </c>
      <c r="E40" s="18">
        <v>2009752.6176</v>
      </c>
      <c r="F40" s="18">
        <v>154127.70559992499</v>
      </c>
      <c r="G40" s="18">
        <v>1.5976037721955481</v>
      </c>
      <c r="H40" s="18">
        <v>7.6689889218296295E-2</v>
      </c>
      <c r="I40" s="9" t="s">
        <v>370</v>
      </c>
      <c r="J40" s="9" t="s">
        <v>371</v>
      </c>
      <c r="K40" s="10" t="s">
        <v>362</v>
      </c>
    </row>
    <row r="41" spans="1:11" ht="52.75" customHeight="1">
      <c r="A41" s="7" t="s">
        <v>372</v>
      </c>
      <c r="B41" s="7">
        <v>28</v>
      </c>
      <c r="C41" s="12">
        <v>24.64</v>
      </c>
      <c r="D41" s="12">
        <v>97266</v>
      </c>
      <c r="E41" s="18">
        <v>2396634.2400000002</v>
      </c>
      <c r="F41" s="18">
        <v>178169.44645606249</v>
      </c>
      <c r="G41" s="18">
        <v>1.831775198487267</v>
      </c>
      <c r="H41" s="18">
        <v>7.4341525912632572E-2</v>
      </c>
      <c r="I41" s="9" t="s">
        <v>373</v>
      </c>
      <c r="J41" s="9" t="s">
        <v>371</v>
      </c>
      <c r="K41" s="10" t="s">
        <v>362</v>
      </c>
    </row>
    <row r="42" spans="1:11" ht="118.75" customHeight="1">
      <c r="A42" s="7" t="s">
        <v>374</v>
      </c>
      <c r="B42" s="7">
        <v>38</v>
      </c>
      <c r="C42" s="12">
        <v>34.200000000000003</v>
      </c>
      <c r="D42" s="12">
        <v>101200</v>
      </c>
      <c r="E42" s="18">
        <v>3461040</v>
      </c>
      <c r="F42" s="18">
        <v>226940.89934375</v>
      </c>
      <c r="G42" s="18">
        <v>2.2424990053730238</v>
      </c>
      <c r="H42" s="18">
        <v>6.557014635593636E-2</v>
      </c>
      <c r="I42" s="9" t="s">
        <v>375</v>
      </c>
      <c r="J42" s="9" t="s">
        <v>376</v>
      </c>
      <c r="K42" s="10" t="s">
        <v>362</v>
      </c>
    </row>
    <row r="43" spans="1:11" ht="1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</row>
    <row r="44" spans="1:11" ht="1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</row>
    <row r="45" spans="1:11" ht="26.25" customHeight="1">
      <c r="A45" s="28" t="s">
        <v>377</v>
      </c>
      <c r="B45" s="28"/>
      <c r="C45" s="28"/>
      <c r="D45" s="28"/>
      <c r="E45" s="28"/>
      <c r="F45" s="28"/>
      <c r="G45" s="28"/>
      <c r="H45" s="28"/>
      <c r="I45" s="28" t="s">
        <v>378</v>
      </c>
      <c r="J45" s="28"/>
      <c r="K45" s="28"/>
    </row>
    <row r="46" spans="1:11" ht="105.5" customHeight="1">
      <c r="A46" s="28" t="s">
        <v>379</v>
      </c>
      <c r="B46" s="28"/>
      <c r="C46" s="28"/>
      <c r="D46" s="28"/>
      <c r="E46" s="28"/>
      <c r="F46" s="28"/>
      <c r="G46" s="28"/>
      <c r="H46" s="28"/>
      <c r="I46" s="28" t="s">
        <v>380</v>
      </c>
      <c r="J46" s="28" t="s">
        <v>381</v>
      </c>
      <c r="K46" s="28" t="s">
        <v>382</v>
      </c>
    </row>
    <row r="47" spans="1:11" ht="39.5" customHeight="1">
      <c r="A47" s="28"/>
      <c r="B47" s="28"/>
      <c r="C47" s="28"/>
      <c r="D47" s="28"/>
      <c r="E47" s="28"/>
      <c r="F47" s="28"/>
      <c r="G47" s="28"/>
      <c r="H47" s="28"/>
      <c r="I47" s="28" t="s">
        <v>383</v>
      </c>
      <c r="J47" s="28" t="s">
        <v>384</v>
      </c>
      <c r="K47" s="28" t="s">
        <v>385</v>
      </c>
    </row>
    <row r="48" spans="1:11" ht="39.5" customHeight="1">
      <c r="A48" s="28" t="s">
        <v>350</v>
      </c>
      <c r="B48" s="28">
        <v>0.5</v>
      </c>
      <c r="C48" s="28">
        <v>0.65</v>
      </c>
      <c r="D48" s="28">
        <v>0.8</v>
      </c>
      <c r="E48" s="28">
        <v>0.9</v>
      </c>
      <c r="F48" s="28">
        <v>1</v>
      </c>
      <c r="G48" s="28" t="s">
        <v>386</v>
      </c>
      <c r="H48" s="28"/>
      <c r="I48" s="28" t="s">
        <v>387</v>
      </c>
      <c r="J48" s="28" t="s">
        <v>388</v>
      </c>
      <c r="K48" s="28" t="s">
        <v>389</v>
      </c>
    </row>
    <row r="49" spans="1:11" ht="26.25" customHeight="1">
      <c r="A49" s="28" t="s">
        <v>390</v>
      </c>
      <c r="B49" s="28">
        <v>3.1698475011574079</v>
      </c>
      <c r="C49" s="28">
        <v>2.4383442316595438</v>
      </c>
      <c r="D49" s="28">
        <v>1.9811546882233799</v>
      </c>
      <c r="E49" s="28">
        <v>1.7610263895318929</v>
      </c>
      <c r="F49" s="28">
        <v>1.5849237505787039</v>
      </c>
      <c r="G49" s="28">
        <v>0.75</v>
      </c>
      <c r="H49" s="28"/>
      <c r="I49" s="28" t="s">
        <v>391</v>
      </c>
      <c r="J49" s="28" t="s">
        <v>392</v>
      </c>
      <c r="K49" s="28" t="s">
        <v>393</v>
      </c>
    </row>
    <row r="50" spans="1:11" ht="15" customHeight="1">
      <c r="A50" s="28" t="s">
        <v>394</v>
      </c>
      <c r="B50" s="28">
        <v>1.6233139332264961</v>
      </c>
      <c r="C50" s="28">
        <v>1.2487030255588429</v>
      </c>
      <c r="D50" s="28">
        <v>1.0145712082665601</v>
      </c>
      <c r="E50" s="28">
        <v>0.9018410740147198</v>
      </c>
      <c r="F50" s="28">
        <v>0.81165696661324782</v>
      </c>
      <c r="G50" s="28">
        <v>0.75</v>
      </c>
      <c r="H50" s="28"/>
      <c r="I50" s="28"/>
      <c r="J50" s="28"/>
      <c r="K50" s="28"/>
    </row>
    <row r="51" spans="1:11" ht="15" customHeight="1">
      <c r="A51" s="28" t="s">
        <v>395</v>
      </c>
      <c r="B51" s="28">
        <v>1.068559192380953</v>
      </c>
      <c r="C51" s="28">
        <v>0.82196860952380957</v>
      </c>
      <c r="D51" s="28">
        <v>0.66784949523809511</v>
      </c>
      <c r="E51" s="28">
        <v>0.59364399576719584</v>
      </c>
      <c r="F51" s="28">
        <v>0.53427959619047627</v>
      </c>
      <c r="G51" s="28">
        <v>0.8</v>
      </c>
      <c r="H51" s="28"/>
      <c r="I51" s="28"/>
      <c r="J51" s="28"/>
      <c r="K51" s="28"/>
    </row>
    <row r="52" spans="1:11" ht="15" customHeight="1">
      <c r="A52" s="28" t="s">
        <v>363</v>
      </c>
      <c r="B52" s="28">
        <v>0.73116043482905979</v>
      </c>
      <c r="C52" s="28">
        <v>0.56243110371466132</v>
      </c>
      <c r="D52" s="28">
        <v>0.45697527176816233</v>
      </c>
      <c r="E52" s="28">
        <v>0.40620024157169993</v>
      </c>
      <c r="F52" s="28">
        <v>0.3655802174145299</v>
      </c>
      <c r="G52" s="28">
        <v>0.82</v>
      </c>
      <c r="H52" s="28"/>
      <c r="I52" s="28"/>
      <c r="J52" s="28"/>
      <c r="K52" s="28"/>
    </row>
    <row r="53" spans="1:11" ht="15" customHeight="1">
      <c r="A53" s="28" t="s">
        <v>365</v>
      </c>
      <c r="B53" s="28">
        <v>0.55259408543709154</v>
      </c>
      <c r="C53" s="28">
        <v>0.42507237341314719</v>
      </c>
      <c r="D53" s="28">
        <v>0.34537130339818217</v>
      </c>
      <c r="E53" s="28">
        <v>0.30699671413171747</v>
      </c>
      <c r="F53" s="28">
        <v>0.27629704271854583</v>
      </c>
      <c r="G53" s="28">
        <v>0.85</v>
      </c>
      <c r="H53" s="28"/>
      <c r="I53" s="28"/>
      <c r="J53" s="28"/>
      <c r="K53" s="28"/>
    </row>
    <row r="54" spans="1:11" ht="15" customHeight="1">
      <c r="A54" s="28" t="s">
        <v>367</v>
      </c>
      <c r="B54" s="28">
        <v>0.39355040076945408</v>
      </c>
      <c r="C54" s="28">
        <v>0.30273107751496481</v>
      </c>
      <c r="D54" s="28">
        <v>0.24596900048090881</v>
      </c>
      <c r="E54" s="28">
        <v>0.21863911153858559</v>
      </c>
      <c r="F54" s="28">
        <v>0.19677520038472709</v>
      </c>
      <c r="G54" s="28">
        <v>0.85</v>
      </c>
      <c r="H54" s="28"/>
      <c r="I54" s="28"/>
      <c r="J54" s="28"/>
      <c r="K54" s="28"/>
    </row>
    <row r="55" spans="1:11" ht="15" customHeight="1">
      <c r="A55" s="28" t="s">
        <v>369</v>
      </c>
      <c r="B55" s="28">
        <v>0.1331336476829624</v>
      </c>
      <c r="C55" s="28">
        <v>0.1024104982176634</v>
      </c>
      <c r="D55" s="28">
        <v>8.3208529801851477E-2</v>
      </c>
      <c r="E55" s="28">
        <v>7.3963137601645759E-2</v>
      </c>
      <c r="F55" s="28">
        <v>6.6566823841481187E-2</v>
      </c>
      <c r="G55" s="28">
        <v>0.86799999999999999</v>
      </c>
      <c r="H55" s="28"/>
      <c r="I55" s="28"/>
      <c r="J55" s="28"/>
      <c r="K55" s="28"/>
    </row>
    <row r="56" spans="1:11" ht="15" customHeight="1">
      <c r="A56" s="28" t="s">
        <v>372</v>
      </c>
      <c r="B56" s="28">
        <v>0.13084108560623331</v>
      </c>
      <c r="C56" s="28">
        <v>0.1006469889278718</v>
      </c>
      <c r="D56" s="28">
        <v>8.1775678503895818E-2</v>
      </c>
      <c r="E56" s="28">
        <v>7.2689492003462974E-2</v>
      </c>
      <c r="F56" s="28">
        <v>6.5420542803116669E-2</v>
      </c>
      <c r="G56" s="28">
        <v>0.88</v>
      </c>
      <c r="H56" s="28"/>
      <c r="I56" s="28"/>
      <c r="J56" s="28"/>
      <c r="K56" s="28"/>
    </row>
    <row r="57" spans="1:11" ht="15" customHeight="1">
      <c r="A57" s="28" t="s">
        <v>374</v>
      </c>
      <c r="B57" s="28">
        <v>0.11802626344068549</v>
      </c>
      <c r="C57" s="28">
        <v>9.0789433415911891E-2</v>
      </c>
      <c r="D57" s="28">
        <v>7.3766414650428408E-2</v>
      </c>
      <c r="E57" s="28">
        <v>6.557014635593636E-2</v>
      </c>
      <c r="F57" s="28">
        <v>5.9013131720342733E-2</v>
      </c>
      <c r="G57" s="28">
        <v>0.9</v>
      </c>
      <c r="H57" s="28"/>
      <c r="I57" s="28"/>
      <c r="J57" s="28"/>
      <c r="K57" s="28"/>
    </row>
  </sheetData>
  <sheetProtection sheet="1" objects="1" scenarios="1" formatCells="0" formatColumns="0" formatRows="0" sort="0" autoFilter="0"/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5"/>
  <sheetViews>
    <sheetView showGridLines="0" workbookViewId="0">
      <selection sqref="A1:W1"/>
    </sheetView>
  </sheetViews>
  <sheetFormatPr baseColWidth="10" defaultColWidth="8.83203125" defaultRowHeight="14"/>
  <cols>
    <col min="1" max="2" width="24" customWidth="1"/>
    <col min="3" max="3" width="10" customWidth="1"/>
    <col min="4" max="7" width="16" customWidth="1"/>
    <col min="8" max="8" width="12" customWidth="1"/>
    <col min="9" max="9" width="16" customWidth="1"/>
    <col min="10" max="12" width="14" customWidth="1"/>
    <col min="13" max="20" width="18" customWidth="1"/>
    <col min="21" max="22" width="42" customWidth="1"/>
    <col min="23" max="23" width="16" customWidth="1"/>
  </cols>
  <sheetData>
    <row r="1" spans="1:23" ht="76.75" customHeight="1">
      <c r="A1" s="42" t="s">
        <v>396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pans="1:23" ht="105.5" customHeight="1">
      <c r="A2" s="1" t="s">
        <v>397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spans="1:23" ht="26.25" customHeight="1">
      <c r="A4" s="2" t="s">
        <v>350</v>
      </c>
      <c r="B4" s="2" t="s">
        <v>398</v>
      </c>
      <c r="C4" s="2" t="s">
        <v>399</v>
      </c>
      <c r="D4" s="2" t="s">
        <v>351</v>
      </c>
      <c r="E4" s="2" t="s">
        <v>400</v>
      </c>
      <c r="F4" s="2" t="s">
        <v>352</v>
      </c>
      <c r="G4" s="2" t="s">
        <v>211</v>
      </c>
      <c r="H4" s="2" t="s">
        <v>165</v>
      </c>
      <c r="I4" s="2" t="s">
        <v>34</v>
      </c>
      <c r="J4" s="2" t="s">
        <v>401</v>
      </c>
      <c r="K4" s="2" t="s">
        <v>402</v>
      </c>
      <c r="L4" s="2" t="s">
        <v>403</v>
      </c>
      <c r="M4" s="2" t="s">
        <v>404</v>
      </c>
      <c r="N4" s="2" t="s">
        <v>405</v>
      </c>
      <c r="O4" s="2" t="s">
        <v>406</v>
      </c>
      <c r="P4" s="2" t="s">
        <v>407</v>
      </c>
      <c r="Q4" s="2" t="s">
        <v>408</v>
      </c>
      <c r="R4" s="2" t="s">
        <v>355</v>
      </c>
      <c r="S4" s="2" t="s">
        <v>356</v>
      </c>
      <c r="T4" s="2" t="s">
        <v>357</v>
      </c>
      <c r="U4" s="2" t="s">
        <v>358</v>
      </c>
      <c r="V4" s="2" t="s">
        <v>359</v>
      </c>
      <c r="W4" s="2" t="s">
        <v>409</v>
      </c>
    </row>
    <row r="5" spans="1:23" ht="26.25" customHeight="1">
      <c r="A5" s="29" t="s">
        <v>390</v>
      </c>
      <c r="B5" s="29" t="s">
        <v>410</v>
      </c>
      <c r="C5" s="37">
        <v>3.5</v>
      </c>
      <c r="D5" s="37">
        <v>1.2</v>
      </c>
      <c r="E5" s="31">
        <v>0.75</v>
      </c>
      <c r="F5" s="24">
        <f t="shared" ref="F5:F13" si="0">D5*E5</f>
        <v>0.89999999999999991</v>
      </c>
      <c r="G5" s="38">
        <v>45000</v>
      </c>
      <c r="H5" s="31">
        <v>0.7</v>
      </c>
      <c r="I5" s="25">
        <f t="shared" ref="I5:I13" si="1">G5*H5</f>
        <v>31499.999999999996</v>
      </c>
      <c r="J5" s="39">
        <v>9.5</v>
      </c>
      <c r="K5" s="26">
        <f>Inputs!$C$11</f>
        <v>1.2655246250000001</v>
      </c>
      <c r="L5" s="26">
        <f t="shared" ref="L5:L13" si="2">J5/100*K5</f>
        <v>0.120224839375</v>
      </c>
      <c r="M5" s="39">
        <v>0.1</v>
      </c>
      <c r="N5" s="27">
        <f t="shared" ref="N5:N13" si="3">(L5+M5)*G5</f>
        <v>9910.1177718750005</v>
      </c>
      <c r="O5" s="40">
        <v>32000</v>
      </c>
      <c r="P5" s="40">
        <v>12000</v>
      </c>
      <c r="Q5" s="40">
        <v>6000</v>
      </c>
      <c r="R5" s="14">
        <f t="shared" ref="R5:R13" si="4">N5+O5+P5+Q5</f>
        <v>59910.117771874997</v>
      </c>
      <c r="S5" s="9">
        <f t="shared" ref="S5:S13" si="5">IFERROR(R5/I5,"")</f>
        <v>1.9019085006944445</v>
      </c>
      <c r="T5" s="9">
        <f t="shared" ref="T5:T13" si="6">IFERROR(R5/(I5*F5),"")</f>
        <v>2.1132316674382721</v>
      </c>
      <c r="U5" s="41" t="s">
        <v>411</v>
      </c>
      <c r="V5" s="41" t="s">
        <v>412</v>
      </c>
      <c r="W5" s="41" t="s">
        <v>362</v>
      </c>
    </row>
    <row r="6" spans="1:23" ht="26.25" customHeight="1">
      <c r="A6" s="29" t="s">
        <v>394</v>
      </c>
      <c r="B6" s="29" t="s">
        <v>413</v>
      </c>
      <c r="C6" s="37">
        <v>3.5</v>
      </c>
      <c r="D6" s="37">
        <v>2</v>
      </c>
      <c r="E6" s="31">
        <v>0.75</v>
      </c>
      <c r="F6" s="24">
        <f t="shared" si="0"/>
        <v>1.5</v>
      </c>
      <c r="G6" s="38">
        <v>65000</v>
      </c>
      <c r="H6" s="31">
        <v>0.72</v>
      </c>
      <c r="I6" s="25">
        <f t="shared" si="1"/>
        <v>46800</v>
      </c>
      <c r="J6" s="39">
        <v>12</v>
      </c>
      <c r="K6" s="26">
        <f>Inputs!$C$11</f>
        <v>1.2655246250000001</v>
      </c>
      <c r="L6" s="26">
        <f t="shared" si="2"/>
        <v>0.15186295499999999</v>
      </c>
      <c r="M6" s="39">
        <v>0.14000000000000001</v>
      </c>
      <c r="N6" s="27">
        <f t="shared" si="3"/>
        <v>18971.092075</v>
      </c>
      <c r="O6" s="40">
        <v>34000</v>
      </c>
      <c r="P6" s="40">
        <v>16000</v>
      </c>
      <c r="Q6" s="40">
        <v>7000</v>
      </c>
      <c r="R6" s="14">
        <f t="shared" si="4"/>
        <v>75971.092074999993</v>
      </c>
      <c r="S6" s="9">
        <f t="shared" si="5"/>
        <v>1.6233139332264956</v>
      </c>
      <c r="T6" s="9">
        <f t="shared" si="6"/>
        <v>1.0822092888176638</v>
      </c>
      <c r="U6" s="41" t="s">
        <v>414</v>
      </c>
      <c r="V6" s="41" t="s">
        <v>412</v>
      </c>
      <c r="W6" s="41" t="s">
        <v>362</v>
      </c>
    </row>
    <row r="7" spans="1:23" ht="26.25" customHeight="1">
      <c r="A7" s="29" t="s">
        <v>395</v>
      </c>
      <c r="B7" s="29" t="s">
        <v>415</v>
      </c>
      <c r="C7" s="37">
        <v>7.5</v>
      </c>
      <c r="D7" s="37">
        <v>3.5</v>
      </c>
      <c r="E7" s="31">
        <v>0.8</v>
      </c>
      <c r="F7" s="24">
        <f t="shared" si="0"/>
        <v>2.8000000000000003</v>
      </c>
      <c r="G7" s="38">
        <v>75000</v>
      </c>
      <c r="H7" s="31">
        <v>0.75</v>
      </c>
      <c r="I7" s="25">
        <f t="shared" si="1"/>
        <v>56250</v>
      </c>
      <c r="J7" s="39">
        <v>16</v>
      </c>
      <c r="K7" s="26">
        <f>Inputs!$C$11</f>
        <v>1.2655246250000001</v>
      </c>
      <c r="L7" s="26">
        <f t="shared" si="2"/>
        <v>0.20248394000000003</v>
      </c>
      <c r="M7" s="39">
        <v>0.2</v>
      </c>
      <c r="N7" s="27">
        <f t="shared" si="3"/>
        <v>30186.295500000004</v>
      </c>
      <c r="O7" s="40">
        <v>40000</v>
      </c>
      <c r="P7" s="40">
        <v>25000</v>
      </c>
      <c r="Q7" s="40">
        <v>10000</v>
      </c>
      <c r="R7" s="14">
        <f t="shared" si="4"/>
        <v>105186.29550000001</v>
      </c>
      <c r="S7" s="9">
        <f t="shared" si="5"/>
        <v>1.8699785866666667</v>
      </c>
      <c r="T7" s="9">
        <f t="shared" si="6"/>
        <v>0.66784949523809511</v>
      </c>
      <c r="U7" s="41" t="s">
        <v>361</v>
      </c>
      <c r="V7" s="41"/>
      <c r="W7" s="41" t="s">
        <v>362</v>
      </c>
    </row>
    <row r="8" spans="1:23" ht="26.25" customHeight="1">
      <c r="A8" s="29" t="s">
        <v>363</v>
      </c>
      <c r="B8" s="29" t="s">
        <v>416</v>
      </c>
      <c r="C8" s="37">
        <v>12</v>
      </c>
      <c r="D8" s="37">
        <v>6</v>
      </c>
      <c r="E8" s="31">
        <v>0.82</v>
      </c>
      <c r="F8" s="24">
        <f t="shared" si="0"/>
        <v>4.92</v>
      </c>
      <c r="G8" s="38">
        <v>80000</v>
      </c>
      <c r="H8" s="31">
        <v>0.78</v>
      </c>
      <c r="I8" s="25">
        <f t="shared" si="1"/>
        <v>62400</v>
      </c>
      <c r="J8" s="39">
        <v>22</v>
      </c>
      <c r="K8" s="26">
        <f>Inputs!$C$11</f>
        <v>1.2655246250000001</v>
      </c>
      <c r="L8" s="26">
        <f t="shared" si="2"/>
        <v>0.27841541750000004</v>
      </c>
      <c r="M8" s="39">
        <v>0.27</v>
      </c>
      <c r="N8" s="27">
        <f t="shared" si="3"/>
        <v>43873.233399999997</v>
      </c>
      <c r="O8" s="40">
        <v>43000</v>
      </c>
      <c r="P8" s="40">
        <v>38000</v>
      </c>
      <c r="Q8" s="40">
        <v>12000</v>
      </c>
      <c r="R8" s="14">
        <f t="shared" si="4"/>
        <v>136873.2334</v>
      </c>
      <c r="S8" s="9">
        <f t="shared" si="5"/>
        <v>2.1934813044871793</v>
      </c>
      <c r="T8" s="9">
        <f t="shared" si="6"/>
        <v>0.44582953343235354</v>
      </c>
      <c r="U8" s="41" t="s">
        <v>364</v>
      </c>
      <c r="V8" s="41"/>
      <c r="W8" s="41" t="s">
        <v>362</v>
      </c>
    </row>
    <row r="9" spans="1:23" ht="26.25" customHeight="1">
      <c r="A9" s="29" t="s">
        <v>365</v>
      </c>
      <c r="B9" s="29" t="s">
        <v>416</v>
      </c>
      <c r="C9" s="37">
        <v>18</v>
      </c>
      <c r="D9" s="37">
        <v>9</v>
      </c>
      <c r="E9" s="31">
        <v>0.85</v>
      </c>
      <c r="F9" s="24">
        <f t="shared" si="0"/>
        <v>7.6499999999999995</v>
      </c>
      <c r="G9" s="38">
        <v>85000</v>
      </c>
      <c r="H9" s="31">
        <v>0.8</v>
      </c>
      <c r="I9" s="25">
        <f t="shared" si="1"/>
        <v>68000</v>
      </c>
      <c r="J9" s="39">
        <v>27</v>
      </c>
      <c r="K9" s="26">
        <f>Inputs!$C$11</f>
        <v>1.2655246250000001</v>
      </c>
      <c r="L9" s="26">
        <f t="shared" si="2"/>
        <v>0.34169164875000002</v>
      </c>
      <c r="M9" s="39">
        <v>0.33</v>
      </c>
      <c r="N9" s="27">
        <f t="shared" si="3"/>
        <v>57093.790143749997</v>
      </c>
      <c r="O9" s="40">
        <v>46000</v>
      </c>
      <c r="P9" s="40">
        <v>52000</v>
      </c>
      <c r="Q9" s="40">
        <v>14000</v>
      </c>
      <c r="R9" s="14">
        <f t="shared" si="4"/>
        <v>169093.79014375</v>
      </c>
      <c r="S9" s="9">
        <f t="shared" si="5"/>
        <v>2.4866733844669118</v>
      </c>
      <c r="T9" s="9">
        <f t="shared" si="6"/>
        <v>0.32505534437475975</v>
      </c>
      <c r="U9" s="41" t="s">
        <v>366</v>
      </c>
      <c r="V9" s="41"/>
      <c r="W9" s="41" t="s">
        <v>362</v>
      </c>
    </row>
    <row r="10" spans="1:23" ht="26.25" customHeight="1">
      <c r="A10" s="29" t="s">
        <v>367</v>
      </c>
      <c r="B10" s="29" t="s">
        <v>417</v>
      </c>
      <c r="C10" s="37">
        <v>26</v>
      </c>
      <c r="D10" s="37">
        <v>14</v>
      </c>
      <c r="E10" s="31">
        <v>0.85</v>
      </c>
      <c r="F10" s="24">
        <f t="shared" si="0"/>
        <v>11.9</v>
      </c>
      <c r="G10" s="38">
        <v>90000</v>
      </c>
      <c r="H10" s="31">
        <v>0.82</v>
      </c>
      <c r="I10" s="25">
        <f t="shared" si="1"/>
        <v>73800</v>
      </c>
      <c r="J10" s="39">
        <v>31</v>
      </c>
      <c r="K10" s="26">
        <f>Inputs!$C$11</f>
        <v>1.2655246250000001</v>
      </c>
      <c r="L10" s="26">
        <f t="shared" si="2"/>
        <v>0.39231263375000003</v>
      </c>
      <c r="M10" s="39">
        <v>0.4</v>
      </c>
      <c r="N10" s="27">
        <f t="shared" si="3"/>
        <v>71308.137037500012</v>
      </c>
      <c r="O10" s="40">
        <v>48000</v>
      </c>
      <c r="P10" s="40">
        <v>68000</v>
      </c>
      <c r="Q10" s="40">
        <v>16000</v>
      </c>
      <c r="R10" s="14">
        <f t="shared" si="4"/>
        <v>203308.13703750001</v>
      </c>
      <c r="S10" s="9">
        <f t="shared" si="5"/>
        <v>2.7548528053861792</v>
      </c>
      <c r="T10" s="9">
        <f t="shared" si="6"/>
        <v>0.23150023574673773</v>
      </c>
      <c r="U10" s="41" t="s">
        <v>368</v>
      </c>
      <c r="V10" s="41"/>
      <c r="W10" s="41" t="s">
        <v>362</v>
      </c>
    </row>
    <row r="11" spans="1:23" ht="26.25" customHeight="1">
      <c r="A11" s="29" t="s">
        <v>369</v>
      </c>
      <c r="B11" s="29" t="s">
        <v>418</v>
      </c>
      <c r="C11" s="37">
        <v>40</v>
      </c>
      <c r="D11" s="37">
        <v>24</v>
      </c>
      <c r="E11" s="31">
        <v>0.86799999999999999</v>
      </c>
      <c r="F11" s="24">
        <f t="shared" si="0"/>
        <v>20.832000000000001</v>
      </c>
      <c r="G11" s="38">
        <v>113100</v>
      </c>
      <c r="H11" s="31">
        <v>0.85299999999999998</v>
      </c>
      <c r="I11" s="25">
        <f t="shared" si="1"/>
        <v>96474.3</v>
      </c>
      <c r="J11" s="39">
        <v>34.200000000000003</v>
      </c>
      <c r="K11" s="26">
        <f>Inputs!$C$11</f>
        <v>1.2655246250000001</v>
      </c>
      <c r="L11" s="26">
        <f t="shared" si="2"/>
        <v>0.43280942175000003</v>
      </c>
      <c r="M11" s="39">
        <v>0.1716</v>
      </c>
      <c r="N11" s="27">
        <f t="shared" si="3"/>
        <v>68358.705599925001</v>
      </c>
      <c r="O11" s="40">
        <v>49674</v>
      </c>
      <c r="P11" s="40">
        <v>36095</v>
      </c>
      <c r="Q11" s="40">
        <v>0</v>
      </c>
      <c r="R11" s="14">
        <f t="shared" si="4"/>
        <v>154127.70559992502</v>
      </c>
      <c r="S11" s="9">
        <f t="shared" si="5"/>
        <v>1.5976037721955485</v>
      </c>
      <c r="T11" s="9">
        <f t="shared" si="6"/>
        <v>7.6689889218296295E-2</v>
      </c>
      <c r="U11" s="41" t="s">
        <v>370</v>
      </c>
      <c r="V11" s="41" t="s">
        <v>371</v>
      </c>
      <c r="W11" s="41" t="s">
        <v>362</v>
      </c>
    </row>
    <row r="12" spans="1:23" ht="26.25" customHeight="1">
      <c r="A12" s="29" t="s">
        <v>372</v>
      </c>
      <c r="B12" s="29" t="s">
        <v>419</v>
      </c>
      <c r="C12" s="37">
        <v>44</v>
      </c>
      <c r="D12" s="37">
        <v>28</v>
      </c>
      <c r="E12" s="31">
        <v>0.88</v>
      </c>
      <c r="F12" s="24">
        <f t="shared" si="0"/>
        <v>24.64</v>
      </c>
      <c r="G12" s="38">
        <v>113100</v>
      </c>
      <c r="H12" s="31">
        <v>0.86</v>
      </c>
      <c r="I12" s="25">
        <f t="shared" si="1"/>
        <v>97266</v>
      </c>
      <c r="J12" s="39">
        <v>35.5</v>
      </c>
      <c r="K12" s="26">
        <f>Inputs!$C$11</f>
        <v>1.2655246250000001</v>
      </c>
      <c r="L12" s="26">
        <f t="shared" si="2"/>
        <v>0.44926124187499999</v>
      </c>
      <c r="M12" s="39">
        <v>0.18</v>
      </c>
      <c r="N12" s="27">
        <f t="shared" si="3"/>
        <v>71169.446456062506</v>
      </c>
      <c r="O12" s="40">
        <v>50000</v>
      </c>
      <c r="P12" s="40">
        <v>39000</v>
      </c>
      <c r="Q12" s="40">
        <v>18000</v>
      </c>
      <c r="R12" s="14">
        <f t="shared" si="4"/>
        <v>178169.44645606249</v>
      </c>
      <c r="S12" s="9">
        <f t="shared" si="5"/>
        <v>1.8317751984872668</v>
      </c>
      <c r="T12" s="9">
        <f t="shared" si="6"/>
        <v>7.4341525912632572E-2</v>
      </c>
      <c r="U12" s="41" t="s">
        <v>373</v>
      </c>
      <c r="V12" s="41" t="s">
        <v>371</v>
      </c>
      <c r="W12" s="41" t="s">
        <v>362</v>
      </c>
    </row>
    <row r="13" spans="1:23" ht="52.75" customHeight="1">
      <c r="A13" s="29" t="s">
        <v>374</v>
      </c>
      <c r="B13" s="29" t="s">
        <v>420</v>
      </c>
      <c r="C13" s="37">
        <v>60</v>
      </c>
      <c r="D13" s="37">
        <v>38</v>
      </c>
      <c r="E13" s="31">
        <v>0.9</v>
      </c>
      <c r="F13" s="24">
        <f t="shared" si="0"/>
        <v>34.200000000000003</v>
      </c>
      <c r="G13" s="38">
        <v>115000</v>
      </c>
      <c r="H13" s="31">
        <v>0.88</v>
      </c>
      <c r="I13" s="25">
        <f t="shared" si="1"/>
        <v>101200</v>
      </c>
      <c r="J13" s="39">
        <v>45</v>
      </c>
      <c r="K13" s="26">
        <f>Inputs!$C$11</f>
        <v>1.2655246250000001</v>
      </c>
      <c r="L13" s="26">
        <f t="shared" si="2"/>
        <v>0.56948608125</v>
      </c>
      <c r="M13" s="39">
        <v>0.23</v>
      </c>
      <c r="N13" s="27">
        <f t="shared" si="3"/>
        <v>91940.899343750003</v>
      </c>
      <c r="O13" s="40">
        <v>53000</v>
      </c>
      <c r="P13" s="40">
        <v>60000</v>
      </c>
      <c r="Q13" s="40">
        <v>22000</v>
      </c>
      <c r="R13" s="14">
        <f t="shared" si="4"/>
        <v>226940.89934375</v>
      </c>
      <c r="S13" s="9">
        <f t="shared" si="5"/>
        <v>2.2424990053730238</v>
      </c>
      <c r="T13" s="9">
        <f t="shared" si="6"/>
        <v>6.557014635593636E-2</v>
      </c>
      <c r="U13" s="41" t="s">
        <v>375</v>
      </c>
      <c r="V13" s="41" t="s">
        <v>376</v>
      </c>
      <c r="W13" s="41" t="s">
        <v>362</v>
      </c>
    </row>
    <row r="14" spans="1:23" ht="1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1"/>
      <c r="V14" s="1"/>
      <c r="W14" s="1"/>
    </row>
    <row r="15" spans="1:23" ht="118.75" customHeight="1">
      <c r="A15" s="28" t="s">
        <v>421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</row>
  </sheetData>
  <sheetProtection sheet="1" objects="1" scenarios="1" formatCells="0" formatColumns="0" formatRows="0" sort="0" autoFilter="0"/>
  <mergeCells count="1">
    <mergeCell ref="A1:W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9"/>
  <sheetViews>
    <sheetView showGridLines="0" workbookViewId="0">
      <selection sqref="A1:R1"/>
    </sheetView>
  </sheetViews>
  <sheetFormatPr baseColWidth="10" defaultColWidth="8.83203125" defaultRowHeight="14"/>
  <cols>
    <col min="1" max="13" width="20" customWidth="1"/>
    <col min="14" max="14" width="60" customWidth="1"/>
    <col min="15" max="17" width="52" customWidth="1"/>
    <col min="18" max="18" width="20" customWidth="1"/>
  </cols>
  <sheetData>
    <row r="1" spans="1:18" ht="57.5" customHeight="1">
      <c r="A1" s="44" t="s">
        <v>422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ht="39.5" customHeight="1">
      <c r="A2" s="6" t="s">
        <v>423</v>
      </c>
      <c r="B2" s="6" t="s">
        <v>424</v>
      </c>
      <c r="C2" s="6" t="s">
        <v>10</v>
      </c>
      <c r="D2" s="16">
        <v>0.2</v>
      </c>
      <c r="E2" s="16">
        <v>0.23</v>
      </c>
      <c r="F2" s="16">
        <v>0</v>
      </c>
      <c r="G2" s="16">
        <v>0.23</v>
      </c>
      <c r="H2" s="16">
        <v>0.20979999999999999</v>
      </c>
      <c r="I2" s="16">
        <v>0.1807</v>
      </c>
      <c r="J2" s="16">
        <v>800</v>
      </c>
      <c r="K2" s="16">
        <v>0.1</v>
      </c>
      <c r="L2" s="6" t="s">
        <v>425</v>
      </c>
      <c r="M2" s="6" t="s">
        <v>426</v>
      </c>
      <c r="N2" s="1" t="s">
        <v>427</v>
      </c>
      <c r="O2" s="1" t="s">
        <v>428</v>
      </c>
      <c r="P2" s="1" t="s">
        <v>429</v>
      </c>
      <c r="Q2" s="1" t="s">
        <v>430</v>
      </c>
      <c r="R2" s="1" t="s">
        <v>431</v>
      </c>
    </row>
    <row r="3" spans="1:18" ht="39.5" customHeight="1">
      <c r="A3" s="6" t="s">
        <v>432</v>
      </c>
      <c r="B3" s="6" t="s">
        <v>424</v>
      </c>
      <c r="C3" s="6" t="s">
        <v>10</v>
      </c>
      <c r="D3" s="16">
        <v>0.19</v>
      </c>
      <c r="E3" s="16">
        <v>0.15825</v>
      </c>
      <c r="F3" s="16">
        <v>0.14000000000000001</v>
      </c>
      <c r="G3" s="16">
        <v>0.29825000000000002</v>
      </c>
      <c r="H3" s="16">
        <v>0.19420000000000001</v>
      </c>
      <c r="I3" s="16">
        <v>0.1933</v>
      </c>
      <c r="J3" s="16">
        <v>900</v>
      </c>
      <c r="K3" s="16">
        <v>0.1</v>
      </c>
      <c r="L3" s="6" t="s">
        <v>425</v>
      </c>
      <c r="M3" s="6" t="s">
        <v>426</v>
      </c>
      <c r="N3" s="1" t="s">
        <v>433</v>
      </c>
      <c r="O3" s="1" t="s">
        <v>434</v>
      </c>
      <c r="P3" s="1" t="s">
        <v>435</v>
      </c>
      <c r="Q3" s="1" t="s">
        <v>436</v>
      </c>
      <c r="R3" s="1" t="s">
        <v>431</v>
      </c>
    </row>
    <row r="4" spans="1:18" ht="39.5" customHeight="1">
      <c r="A4" s="6" t="s">
        <v>60</v>
      </c>
      <c r="B4" s="6" t="s">
        <v>437</v>
      </c>
      <c r="C4" s="6" t="s">
        <v>10</v>
      </c>
      <c r="D4" s="16">
        <v>0.21</v>
      </c>
      <c r="E4" s="16">
        <v>0.16</v>
      </c>
      <c r="F4" s="16">
        <v>0</v>
      </c>
      <c r="G4" s="16">
        <v>0.16</v>
      </c>
      <c r="H4" s="16">
        <v>2.2499999999999999E-2</v>
      </c>
      <c r="I4" s="16">
        <v>0.35</v>
      </c>
      <c r="J4" s="16">
        <v>500</v>
      </c>
      <c r="K4" s="16">
        <v>0.1</v>
      </c>
      <c r="L4" s="6" t="s">
        <v>438</v>
      </c>
      <c r="M4" s="6" t="s">
        <v>426</v>
      </c>
      <c r="N4" s="1" t="s">
        <v>439</v>
      </c>
      <c r="O4" s="1" t="s">
        <v>440</v>
      </c>
      <c r="P4" s="1" t="s">
        <v>441</v>
      </c>
      <c r="Q4" s="1" t="s">
        <v>442</v>
      </c>
      <c r="R4" s="1" t="s">
        <v>431</v>
      </c>
    </row>
    <row r="5" spans="1:18" ht="39.5" customHeight="1">
      <c r="A5" s="6" t="s">
        <v>443</v>
      </c>
      <c r="B5" s="6" t="s">
        <v>444</v>
      </c>
      <c r="C5" s="6" t="s">
        <v>10</v>
      </c>
      <c r="D5" s="16">
        <v>0.27</v>
      </c>
      <c r="E5" s="16">
        <v>0.09</v>
      </c>
      <c r="F5" s="16">
        <v>0.02</v>
      </c>
      <c r="G5" s="16">
        <v>0.11</v>
      </c>
      <c r="H5" s="16">
        <v>0.13</v>
      </c>
      <c r="I5" s="16">
        <v>0.185</v>
      </c>
      <c r="J5" s="16">
        <v>500</v>
      </c>
      <c r="K5" s="16">
        <v>0.1</v>
      </c>
      <c r="L5" s="6" t="s">
        <v>445</v>
      </c>
      <c r="M5" s="6" t="s">
        <v>426</v>
      </c>
      <c r="N5" s="1" t="s">
        <v>446</v>
      </c>
      <c r="O5" s="1" t="s">
        <v>434</v>
      </c>
      <c r="P5" s="1" t="s">
        <v>447</v>
      </c>
      <c r="Q5" s="1" t="s">
        <v>448</v>
      </c>
      <c r="R5" s="1" t="s">
        <v>431</v>
      </c>
    </row>
    <row r="6" spans="1:18" ht="39.5" customHeight="1">
      <c r="A6" s="6" t="s">
        <v>449</v>
      </c>
      <c r="B6" s="6" t="s">
        <v>450</v>
      </c>
      <c r="C6" s="6" t="s">
        <v>10</v>
      </c>
      <c r="D6" s="16">
        <v>0.2</v>
      </c>
      <c r="E6" s="16">
        <v>0.1</v>
      </c>
      <c r="F6" s="16">
        <v>0</v>
      </c>
      <c r="G6" s="16">
        <v>0.1</v>
      </c>
      <c r="H6" s="16">
        <v>0.193</v>
      </c>
      <c r="I6" s="16">
        <v>0.13780000000000001</v>
      </c>
      <c r="J6" s="16">
        <v>400</v>
      </c>
      <c r="K6" s="16">
        <v>0.1</v>
      </c>
      <c r="L6" s="6" t="s">
        <v>451</v>
      </c>
      <c r="M6" s="6" t="s">
        <v>426</v>
      </c>
      <c r="N6" s="1" t="s">
        <v>452</v>
      </c>
      <c r="O6" s="1" t="s">
        <v>453</v>
      </c>
      <c r="P6" s="1" t="s">
        <v>454</v>
      </c>
      <c r="Q6" s="1" t="s">
        <v>455</v>
      </c>
      <c r="R6" s="1" t="s">
        <v>431</v>
      </c>
    </row>
    <row r="7" spans="1:18" ht="39.5" customHeight="1">
      <c r="A7" s="6" t="s">
        <v>456</v>
      </c>
      <c r="B7" s="6" t="s">
        <v>457</v>
      </c>
      <c r="C7" s="6" t="s">
        <v>10</v>
      </c>
      <c r="D7" s="16">
        <v>0.21</v>
      </c>
      <c r="E7" s="16">
        <v>0.21</v>
      </c>
      <c r="F7" s="16">
        <v>0</v>
      </c>
      <c r="G7" s="16">
        <v>0.21</v>
      </c>
      <c r="H7" s="16">
        <v>0.33800000000000002</v>
      </c>
      <c r="I7" s="16">
        <v>0.11600000000000001</v>
      </c>
      <c r="J7" s="16">
        <v>550</v>
      </c>
      <c r="K7" s="16">
        <v>0.1</v>
      </c>
      <c r="L7" s="6" t="s">
        <v>458</v>
      </c>
      <c r="M7" s="6" t="s">
        <v>426</v>
      </c>
      <c r="N7" s="1" t="s">
        <v>459</v>
      </c>
      <c r="O7" s="1" t="s">
        <v>434</v>
      </c>
      <c r="P7" s="1" t="s">
        <v>460</v>
      </c>
      <c r="Q7" s="1" t="s">
        <v>461</v>
      </c>
      <c r="R7" s="1" t="s">
        <v>431</v>
      </c>
    </row>
    <row r="8" spans="1:18" ht="39.5" customHeight="1">
      <c r="A8" s="6" t="s">
        <v>462</v>
      </c>
      <c r="B8" s="6" t="s">
        <v>424</v>
      </c>
      <c r="C8" s="6" t="s">
        <v>10</v>
      </c>
      <c r="D8" s="16">
        <v>0.23</v>
      </c>
      <c r="E8" s="16">
        <v>0.21</v>
      </c>
      <c r="F8" s="16">
        <v>0</v>
      </c>
      <c r="G8" s="16">
        <v>0.21</v>
      </c>
      <c r="H8" s="16">
        <v>0.36199999999999999</v>
      </c>
      <c r="I8" s="16">
        <v>0.14399999999999999</v>
      </c>
      <c r="J8" s="16">
        <v>550</v>
      </c>
      <c r="K8" s="16">
        <v>0.1</v>
      </c>
      <c r="L8" s="6" t="s">
        <v>458</v>
      </c>
      <c r="M8" s="6" t="s">
        <v>426</v>
      </c>
      <c r="N8" s="1" t="s">
        <v>463</v>
      </c>
      <c r="O8" s="1" t="s">
        <v>464</v>
      </c>
      <c r="P8" s="1" t="s">
        <v>465</v>
      </c>
      <c r="Q8" s="1" t="s">
        <v>464</v>
      </c>
      <c r="R8" s="1" t="s">
        <v>431</v>
      </c>
    </row>
    <row r="9" spans="1:18" ht="26.25" customHeight="1">
      <c r="A9" s="6" t="s">
        <v>466</v>
      </c>
      <c r="B9" s="6" t="s">
        <v>424</v>
      </c>
      <c r="C9" s="6" t="s">
        <v>17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0.1</v>
      </c>
      <c r="L9" s="6" t="s">
        <v>467</v>
      </c>
      <c r="M9" s="6" t="s">
        <v>426</v>
      </c>
      <c r="N9" s="1" t="s">
        <v>468</v>
      </c>
      <c r="O9" s="1" t="s">
        <v>469</v>
      </c>
      <c r="P9" s="1" t="s">
        <v>469</v>
      </c>
      <c r="Q9" s="1" t="s">
        <v>469</v>
      </c>
      <c r="R9" s="1" t="s">
        <v>431</v>
      </c>
    </row>
  </sheetData>
  <sheetProtection sheet="1" objects="1" scenarios="1" formatCells="0" formatColumns="0" formatRows="0" sort="0" autoFilter="0"/>
  <mergeCells count="1">
    <mergeCell ref="A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"/>
  <sheetViews>
    <sheetView showGridLines="0" workbookViewId="0"/>
  </sheetViews>
  <sheetFormatPr baseColWidth="10" defaultColWidth="8.83203125" defaultRowHeight="14"/>
  <cols>
    <col min="1" max="12" width="22" customWidth="1"/>
  </cols>
  <sheetData>
    <row r="1" spans="1:12" ht="15" customHeight="1">
      <c r="A1" s="2" t="s">
        <v>422</v>
      </c>
      <c r="B1" s="2" t="s">
        <v>470</v>
      </c>
      <c r="C1" s="2" t="s">
        <v>471</v>
      </c>
      <c r="D1" s="2" t="s">
        <v>472</v>
      </c>
      <c r="E1" s="2" t="s">
        <v>473</v>
      </c>
      <c r="F1" s="2" t="s">
        <v>474</v>
      </c>
      <c r="G1" s="2"/>
      <c r="H1" s="2" t="s">
        <v>475</v>
      </c>
      <c r="I1" s="2" t="s">
        <v>476</v>
      </c>
      <c r="J1" s="2" t="s">
        <v>477</v>
      </c>
      <c r="K1" s="2" t="s">
        <v>478</v>
      </c>
      <c r="L1" s="2" t="s">
        <v>479</v>
      </c>
    </row>
    <row r="2" spans="1:12" ht="15" customHeight="1">
      <c r="A2" s="6" t="s">
        <v>423</v>
      </c>
      <c r="B2" s="6" t="s">
        <v>480</v>
      </c>
      <c r="C2" s="6" t="s">
        <v>425</v>
      </c>
      <c r="D2" s="6" t="s">
        <v>481</v>
      </c>
      <c r="E2" s="6" t="s">
        <v>482</v>
      </c>
      <c r="F2" s="6"/>
      <c r="G2" s="6"/>
      <c r="H2" s="6" t="s">
        <v>483</v>
      </c>
      <c r="I2" s="6" t="s">
        <v>426</v>
      </c>
      <c r="J2" s="6" t="s">
        <v>484</v>
      </c>
      <c r="K2" s="6" t="s">
        <v>485</v>
      </c>
      <c r="L2" s="6" t="s">
        <v>486</v>
      </c>
    </row>
    <row r="3" spans="1:12" ht="15" customHeight="1">
      <c r="A3" s="6" t="s">
        <v>432</v>
      </c>
      <c r="B3" s="6" t="s">
        <v>480</v>
      </c>
      <c r="C3" s="6" t="s">
        <v>487</v>
      </c>
      <c r="D3" s="6" t="s">
        <v>425</v>
      </c>
      <c r="E3" s="6" t="s">
        <v>481</v>
      </c>
      <c r="F3" s="6" t="s">
        <v>482</v>
      </c>
      <c r="G3" s="6"/>
      <c r="H3" s="6" t="s">
        <v>483</v>
      </c>
      <c r="I3" s="6" t="s">
        <v>426</v>
      </c>
      <c r="J3" s="6" t="s">
        <v>484</v>
      </c>
      <c r="K3" s="6" t="s">
        <v>485</v>
      </c>
      <c r="L3" s="6" t="s">
        <v>486</v>
      </c>
    </row>
    <row r="4" spans="1:12" ht="15" customHeight="1">
      <c r="A4" s="6" t="s">
        <v>60</v>
      </c>
      <c r="B4" s="6" t="s">
        <v>488</v>
      </c>
      <c r="C4" s="6" t="s">
        <v>438</v>
      </c>
      <c r="D4" s="6" t="s">
        <v>489</v>
      </c>
      <c r="E4" s="6" t="s">
        <v>482</v>
      </c>
      <c r="F4" s="6"/>
      <c r="G4" s="6"/>
      <c r="H4" s="6" t="s">
        <v>483</v>
      </c>
      <c r="I4" s="6" t="s">
        <v>426</v>
      </c>
      <c r="J4" s="6" t="s">
        <v>484</v>
      </c>
      <c r="K4" s="6" t="s">
        <v>485</v>
      </c>
      <c r="L4" s="6" t="s">
        <v>486</v>
      </c>
    </row>
    <row r="5" spans="1:12" ht="15" customHeight="1">
      <c r="A5" s="6" t="s">
        <v>443</v>
      </c>
      <c r="B5" s="6" t="s">
        <v>490</v>
      </c>
      <c r="C5" s="6" t="s">
        <v>445</v>
      </c>
      <c r="D5" s="6" t="s">
        <v>491</v>
      </c>
      <c r="E5" s="6" t="s">
        <v>482</v>
      </c>
      <c r="F5" s="6"/>
      <c r="G5" s="6"/>
      <c r="H5" s="6" t="s">
        <v>483</v>
      </c>
      <c r="I5" s="6" t="s">
        <v>426</v>
      </c>
      <c r="J5" s="6" t="s">
        <v>484</v>
      </c>
      <c r="K5" s="6" t="s">
        <v>485</v>
      </c>
      <c r="L5" s="6" t="s">
        <v>486</v>
      </c>
    </row>
    <row r="6" spans="1:12" ht="15" customHeight="1">
      <c r="A6" s="6" t="s">
        <v>449</v>
      </c>
      <c r="B6" s="6" t="s">
        <v>492</v>
      </c>
      <c r="C6" s="6" t="s">
        <v>451</v>
      </c>
      <c r="D6" s="6" t="s">
        <v>493</v>
      </c>
      <c r="E6" s="6" t="s">
        <v>482</v>
      </c>
      <c r="F6" s="6"/>
      <c r="G6" s="6"/>
      <c r="H6" s="6" t="s">
        <v>483</v>
      </c>
      <c r="I6" s="6" t="s">
        <v>426</v>
      </c>
      <c r="J6" s="6" t="s">
        <v>484</v>
      </c>
      <c r="K6" s="6" t="s">
        <v>485</v>
      </c>
      <c r="L6" s="6" t="s">
        <v>486</v>
      </c>
    </row>
    <row r="7" spans="1:12" ht="15" customHeight="1">
      <c r="A7" s="6" t="s">
        <v>456</v>
      </c>
      <c r="B7" s="6" t="s">
        <v>494</v>
      </c>
      <c r="C7" s="6" t="s">
        <v>458</v>
      </c>
      <c r="D7" s="6" t="s">
        <v>495</v>
      </c>
      <c r="E7" s="6" t="s">
        <v>482</v>
      </c>
      <c r="F7" s="6"/>
      <c r="G7" s="6"/>
      <c r="H7" s="6" t="s">
        <v>483</v>
      </c>
      <c r="I7" s="6" t="s">
        <v>426</v>
      </c>
      <c r="J7" s="6" t="s">
        <v>484</v>
      </c>
      <c r="K7" s="6" t="s">
        <v>485</v>
      </c>
      <c r="L7" s="6" t="s">
        <v>486</v>
      </c>
    </row>
    <row r="8" spans="1:12" ht="15" customHeight="1">
      <c r="A8" s="6" t="s">
        <v>462</v>
      </c>
      <c r="B8" s="6" t="s">
        <v>496</v>
      </c>
      <c r="C8" s="6" t="s">
        <v>458</v>
      </c>
      <c r="D8" s="6" t="s">
        <v>495</v>
      </c>
      <c r="E8" s="6" t="s">
        <v>482</v>
      </c>
      <c r="F8" s="6"/>
      <c r="G8" s="6"/>
      <c r="H8" s="6" t="s">
        <v>483</v>
      </c>
      <c r="I8" s="6" t="s">
        <v>426</v>
      </c>
      <c r="J8" s="6" t="s">
        <v>484</v>
      </c>
      <c r="K8" s="6" t="s">
        <v>485</v>
      </c>
      <c r="L8" s="6" t="s">
        <v>486</v>
      </c>
    </row>
    <row r="9" spans="1:12" ht="15" customHeight="1">
      <c r="A9" s="6" t="s">
        <v>466</v>
      </c>
      <c r="B9" s="6" t="s">
        <v>467</v>
      </c>
      <c r="C9" s="6"/>
      <c r="D9" s="6"/>
      <c r="E9" s="6"/>
      <c r="F9" s="6"/>
      <c r="G9" s="6"/>
      <c r="H9" s="6" t="s">
        <v>483</v>
      </c>
      <c r="I9" s="6" t="s">
        <v>426</v>
      </c>
      <c r="J9" s="6" t="s">
        <v>484</v>
      </c>
      <c r="K9" s="6" t="s">
        <v>485</v>
      </c>
      <c r="L9" s="6" t="s">
        <v>486</v>
      </c>
    </row>
  </sheetData>
  <sheetProtection sheet="1" objects="1" scenarios="1" formatCells="0" formatColumns="0" formatRows="0" sort="0" autoFilter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1"/>
  <sheetViews>
    <sheetView showGridLines="0" workbookViewId="0"/>
  </sheetViews>
  <sheetFormatPr baseColWidth="10" defaultColWidth="8.83203125" defaultRowHeight="14"/>
  <cols>
    <col min="1" max="2" width="24" customWidth="1"/>
    <col min="3" max="3" width="28" customWidth="1"/>
    <col min="4" max="4" width="16" customWidth="1"/>
  </cols>
  <sheetData>
    <row r="1" spans="1:4" ht="15" customHeight="1">
      <c r="A1" s="2" t="s">
        <v>422</v>
      </c>
      <c r="B1" s="2" t="s">
        <v>63</v>
      </c>
      <c r="C1" s="2" t="s">
        <v>66</v>
      </c>
      <c r="D1" s="2" t="s">
        <v>497</v>
      </c>
    </row>
    <row r="2" spans="1:4" ht="15" customHeight="1">
      <c r="A2" s="6" t="s">
        <v>423</v>
      </c>
      <c r="B2" s="6" t="s">
        <v>480</v>
      </c>
      <c r="C2" s="6" t="s">
        <v>483</v>
      </c>
      <c r="D2" s="6" t="s">
        <v>498</v>
      </c>
    </row>
    <row r="3" spans="1:4" ht="15" customHeight="1">
      <c r="A3" s="6" t="s">
        <v>423</v>
      </c>
      <c r="B3" s="6" t="s">
        <v>480</v>
      </c>
      <c r="C3" s="6" t="s">
        <v>426</v>
      </c>
      <c r="D3" s="6" t="s">
        <v>498</v>
      </c>
    </row>
    <row r="4" spans="1:4" ht="15" customHeight="1">
      <c r="A4" s="6" t="s">
        <v>423</v>
      </c>
      <c r="B4" s="6" t="s">
        <v>480</v>
      </c>
      <c r="C4" s="6" t="s">
        <v>484</v>
      </c>
      <c r="D4" s="6" t="s">
        <v>498</v>
      </c>
    </row>
    <row r="5" spans="1:4" ht="15" customHeight="1">
      <c r="A5" s="6" t="s">
        <v>423</v>
      </c>
      <c r="B5" s="6" t="s">
        <v>480</v>
      </c>
      <c r="C5" s="6" t="s">
        <v>485</v>
      </c>
      <c r="D5" s="6" t="s">
        <v>498</v>
      </c>
    </row>
    <row r="6" spans="1:4" ht="15" customHeight="1">
      <c r="A6" s="6" t="s">
        <v>423</v>
      </c>
      <c r="B6" s="6" t="s">
        <v>480</v>
      </c>
      <c r="C6" s="6" t="s">
        <v>486</v>
      </c>
      <c r="D6" s="6" t="s">
        <v>498</v>
      </c>
    </row>
    <row r="7" spans="1:4" ht="15" customHeight="1">
      <c r="A7" s="6" t="s">
        <v>423</v>
      </c>
      <c r="B7" s="6" t="s">
        <v>425</v>
      </c>
      <c r="C7" s="6" t="s">
        <v>483</v>
      </c>
      <c r="D7" s="6" t="s">
        <v>498</v>
      </c>
    </row>
    <row r="8" spans="1:4" ht="15" customHeight="1">
      <c r="A8" s="6" t="s">
        <v>423</v>
      </c>
      <c r="B8" s="6" t="s">
        <v>425</v>
      </c>
      <c r="C8" s="6" t="s">
        <v>426</v>
      </c>
      <c r="D8" s="6" t="s">
        <v>498</v>
      </c>
    </row>
    <row r="9" spans="1:4" ht="15" customHeight="1">
      <c r="A9" s="6" t="s">
        <v>423</v>
      </c>
      <c r="B9" s="6" t="s">
        <v>425</v>
      </c>
      <c r="C9" s="6" t="s">
        <v>484</v>
      </c>
      <c r="D9" s="6" t="s">
        <v>498</v>
      </c>
    </row>
    <row r="10" spans="1:4" ht="15" customHeight="1">
      <c r="A10" s="6" t="s">
        <v>423</v>
      </c>
      <c r="B10" s="6" t="s">
        <v>425</v>
      </c>
      <c r="C10" s="6" t="s">
        <v>485</v>
      </c>
      <c r="D10" s="6" t="s">
        <v>498</v>
      </c>
    </row>
    <row r="11" spans="1:4" ht="15" customHeight="1">
      <c r="A11" s="6" t="s">
        <v>423</v>
      </c>
      <c r="B11" s="6" t="s">
        <v>425</v>
      </c>
      <c r="C11" s="6" t="s">
        <v>486</v>
      </c>
      <c r="D11" s="6" t="s">
        <v>498</v>
      </c>
    </row>
    <row r="12" spans="1:4" ht="15" customHeight="1">
      <c r="A12" s="6" t="s">
        <v>423</v>
      </c>
      <c r="B12" s="6" t="s">
        <v>481</v>
      </c>
      <c r="C12" s="6" t="s">
        <v>483</v>
      </c>
      <c r="D12" s="6" t="s">
        <v>498</v>
      </c>
    </row>
    <row r="13" spans="1:4" ht="15" customHeight="1">
      <c r="A13" s="6" t="s">
        <v>423</v>
      </c>
      <c r="B13" s="6" t="s">
        <v>481</v>
      </c>
      <c r="C13" s="6" t="s">
        <v>426</v>
      </c>
      <c r="D13" s="6" t="s">
        <v>498</v>
      </c>
    </row>
    <row r="14" spans="1:4" ht="15" customHeight="1">
      <c r="A14" s="6" t="s">
        <v>423</v>
      </c>
      <c r="B14" s="6" t="s">
        <v>481</v>
      </c>
      <c r="C14" s="6" t="s">
        <v>484</v>
      </c>
      <c r="D14" s="6" t="s">
        <v>498</v>
      </c>
    </row>
    <row r="15" spans="1:4" ht="15" customHeight="1">
      <c r="A15" s="6" t="s">
        <v>423</v>
      </c>
      <c r="B15" s="6" t="s">
        <v>481</v>
      </c>
      <c r="C15" s="6" t="s">
        <v>485</v>
      </c>
      <c r="D15" s="6" t="s">
        <v>498</v>
      </c>
    </row>
    <row r="16" spans="1:4" ht="15" customHeight="1">
      <c r="A16" s="6" t="s">
        <v>423</v>
      </c>
      <c r="B16" s="6" t="s">
        <v>481</v>
      </c>
      <c r="C16" s="6" t="s">
        <v>486</v>
      </c>
      <c r="D16" s="6" t="s">
        <v>498</v>
      </c>
    </row>
    <row r="17" spans="1:4" ht="15" customHeight="1">
      <c r="A17" s="6" t="s">
        <v>423</v>
      </c>
      <c r="B17" s="6" t="s">
        <v>482</v>
      </c>
      <c r="C17" s="6" t="s">
        <v>483</v>
      </c>
      <c r="D17" s="6" t="s">
        <v>498</v>
      </c>
    </row>
    <row r="18" spans="1:4" ht="15" customHeight="1">
      <c r="A18" s="6" t="s">
        <v>423</v>
      </c>
      <c r="B18" s="6" t="s">
        <v>482</v>
      </c>
      <c r="C18" s="6" t="s">
        <v>426</v>
      </c>
      <c r="D18" s="6" t="s">
        <v>498</v>
      </c>
    </row>
    <row r="19" spans="1:4" ht="15" customHeight="1">
      <c r="A19" s="6" t="s">
        <v>423</v>
      </c>
      <c r="B19" s="6" t="s">
        <v>482</v>
      </c>
      <c r="C19" s="6" t="s">
        <v>484</v>
      </c>
      <c r="D19" s="6" t="s">
        <v>498</v>
      </c>
    </row>
    <row r="20" spans="1:4" ht="15" customHeight="1">
      <c r="A20" s="6" t="s">
        <v>423</v>
      </c>
      <c r="B20" s="6" t="s">
        <v>482</v>
      </c>
      <c r="C20" s="6" t="s">
        <v>485</v>
      </c>
      <c r="D20" s="6" t="s">
        <v>498</v>
      </c>
    </row>
    <row r="21" spans="1:4" ht="15" customHeight="1">
      <c r="A21" s="6" t="s">
        <v>423</v>
      </c>
      <c r="B21" s="6" t="s">
        <v>482</v>
      </c>
      <c r="C21" s="6" t="s">
        <v>486</v>
      </c>
      <c r="D21" s="6" t="s">
        <v>498</v>
      </c>
    </row>
    <row r="22" spans="1:4" ht="15" customHeight="1">
      <c r="A22" s="6" t="s">
        <v>432</v>
      </c>
      <c r="B22" s="6" t="s">
        <v>480</v>
      </c>
      <c r="C22" s="6" t="s">
        <v>483</v>
      </c>
      <c r="D22" s="6" t="s">
        <v>498</v>
      </c>
    </row>
    <row r="23" spans="1:4" ht="15" customHeight="1">
      <c r="A23" s="6" t="s">
        <v>432</v>
      </c>
      <c r="B23" s="6" t="s">
        <v>480</v>
      </c>
      <c r="C23" s="6" t="s">
        <v>426</v>
      </c>
      <c r="D23" s="6" t="s">
        <v>498</v>
      </c>
    </row>
    <row r="24" spans="1:4" ht="15" customHeight="1">
      <c r="A24" s="6" t="s">
        <v>432</v>
      </c>
      <c r="B24" s="6" t="s">
        <v>480</v>
      </c>
      <c r="C24" s="6" t="s">
        <v>484</v>
      </c>
      <c r="D24" s="6" t="s">
        <v>498</v>
      </c>
    </row>
    <row r="25" spans="1:4" ht="15" customHeight="1">
      <c r="A25" s="6" t="s">
        <v>432</v>
      </c>
      <c r="B25" s="6" t="s">
        <v>480</v>
      </c>
      <c r="C25" s="6" t="s">
        <v>485</v>
      </c>
      <c r="D25" s="6" t="s">
        <v>498</v>
      </c>
    </row>
    <row r="26" spans="1:4" ht="15" customHeight="1">
      <c r="A26" s="6" t="s">
        <v>432</v>
      </c>
      <c r="B26" s="6" t="s">
        <v>480</v>
      </c>
      <c r="C26" s="6" t="s">
        <v>486</v>
      </c>
      <c r="D26" s="6" t="s">
        <v>498</v>
      </c>
    </row>
    <row r="27" spans="1:4" ht="15" customHeight="1">
      <c r="A27" s="6" t="s">
        <v>432</v>
      </c>
      <c r="B27" s="6" t="s">
        <v>487</v>
      </c>
      <c r="C27" s="6" t="s">
        <v>483</v>
      </c>
      <c r="D27" s="6" t="s">
        <v>498</v>
      </c>
    </row>
    <row r="28" spans="1:4" ht="15" customHeight="1">
      <c r="A28" s="6" t="s">
        <v>432</v>
      </c>
      <c r="B28" s="6" t="s">
        <v>487</v>
      </c>
      <c r="C28" s="6" t="s">
        <v>426</v>
      </c>
      <c r="D28" s="6" t="s">
        <v>498</v>
      </c>
    </row>
    <row r="29" spans="1:4" ht="15" customHeight="1">
      <c r="A29" s="6" t="s">
        <v>432</v>
      </c>
      <c r="B29" s="6" t="s">
        <v>487</v>
      </c>
      <c r="C29" s="6" t="s">
        <v>484</v>
      </c>
      <c r="D29" s="6" t="s">
        <v>498</v>
      </c>
    </row>
    <row r="30" spans="1:4" ht="15" customHeight="1">
      <c r="A30" s="6" t="s">
        <v>432</v>
      </c>
      <c r="B30" s="6" t="s">
        <v>487</v>
      </c>
      <c r="C30" s="6" t="s">
        <v>485</v>
      </c>
      <c r="D30" s="6" t="s">
        <v>498</v>
      </c>
    </row>
    <row r="31" spans="1:4" ht="15" customHeight="1">
      <c r="A31" s="6" t="s">
        <v>432</v>
      </c>
      <c r="B31" s="6" t="s">
        <v>487</v>
      </c>
      <c r="C31" s="6" t="s">
        <v>486</v>
      </c>
      <c r="D31" s="6" t="s">
        <v>498</v>
      </c>
    </row>
    <row r="32" spans="1:4" ht="15" customHeight="1">
      <c r="A32" s="6" t="s">
        <v>432</v>
      </c>
      <c r="B32" s="6" t="s">
        <v>425</v>
      </c>
      <c r="C32" s="6" t="s">
        <v>483</v>
      </c>
      <c r="D32" s="6" t="s">
        <v>498</v>
      </c>
    </row>
    <row r="33" spans="1:4" ht="15" customHeight="1">
      <c r="A33" s="6" t="s">
        <v>432</v>
      </c>
      <c r="B33" s="6" t="s">
        <v>425</v>
      </c>
      <c r="C33" s="6" t="s">
        <v>426</v>
      </c>
      <c r="D33" s="6" t="s">
        <v>498</v>
      </c>
    </row>
    <row r="34" spans="1:4" ht="15" customHeight="1">
      <c r="A34" s="6" t="s">
        <v>432</v>
      </c>
      <c r="B34" s="6" t="s">
        <v>425</v>
      </c>
      <c r="C34" s="6" t="s">
        <v>484</v>
      </c>
      <c r="D34" s="6" t="s">
        <v>498</v>
      </c>
    </row>
    <row r="35" spans="1:4" ht="15" customHeight="1">
      <c r="A35" s="6" t="s">
        <v>432</v>
      </c>
      <c r="B35" s="6" t="s">
        <v>425</v>
      </c>
      <c r="C35" s="6" t="s">
        <v>485</v>
      </c>
      <c r="D35" s="6" t="s">
        <v>498</v>
      </c>
    </row>
    <row r="36" spans="1:4" ht="15" customHeight="1">
      <c r="A36" s="6" t="s">
        <v>432</v>
      </c>
      <c r="B36" s="6" t="s">
        <v>425</v>
      </c>
      <c r="C36" s="6" t="s">
        <v>486</v>
      </c>
      <c r="D36" s="6" t="s">
        <v>498</v>
      </c>
    </row>
    <row r="37" spans="1:4" ht="15" customHeight="1">
      <c r="A37" s="6" t="s">
        <v>432</v>
      </c>
      <c r="B37" s="6" t="s">
        <v>481</v>
      </c>
      <c r="C37" s="6" t="s">
        <v>483</v>
      </c>
      <c r="D37" s="6" t="s">
        <v>498</v>
      </c>
    </row>
    <row r="38" spans="1:4" ht="15" customHeight="1">
      <c r="A38" s="6" t="s">
        <v>432</v>
      </c>
      <c r="B38" s="6" t="s">
        <v>481</v>
      </c>
      <c r="C38" s="6" t="s">
        <v>426</v>
      </c>
      <c r="D38" s="6" t="s">
        <v>498</v>
      </c>
    </row>
    <row r="39" spans="1:4" ht="15" customHeight="1">
      <c r="A39" s="6" t="s">
        <v>432</v>
      </c>
      <c r="B39" s="6" t="s">
        <v>481</v>
      </c>
      <c r="C39" s="6" t="s">
        <v>484</v>
      </c>
      <c r="D39" s="6" t="s">
        <v>498</v>
      </c>
    </row>
    <row r="40" spans="1:4" ht="15" customHeight="1">
      <c r="A40" s="6" t="s">
        <v>432</v>
      </c>
      <c r="B40" s="6" t="s">
        <v>481</v>
      </c>
      <c r="C40" s="6" t="s">
        <v>485</v>
      </c>
      <c r="D40" s="6" t="s">
        <v>498</v>
      </c>
    </row>
    <row r="41" spans="1:4" ht="15" customHeight="1">
      <c r="A41" s="6" t="s">
        <v>432</v>
      </c>
      <c r="B41" s="6" t="s">
        <v>481</v>
      </c>
      <c r="C41" s="6" t="s">
        <v>486</v>
      </c>
      <c r="D41" s="6" t="s">
        <v>498</v>
      </c>
    </row>
    <row r="42" spans="1:4" ht="15" customHeight="1">
      <c r="A42" s="6" t="s">
        <v>432</v>
      </c>
      <c r="B42" s="6" t="s">
        <v>482</v>
      </c>
      <c r="C42" s="6" t="s">
        <v>483</v>
      </c>
      <c r="D42" s="6" t="s">
        <v>498</v>
      </c>
    </row>
    <row r="43" spans="1:4" ht="15" customHeight="1">
      <c r="A43" s="6" t="s">
        <v>432</v>
      </c>
      <c r="B43" s="6" t="s">
        <v>482</v>
      </c>
      <c r="C43" s="6" t="s">
        <v>426</v>
      </c>
      <c r="D43" s="6" t="s">
        <v>498</v>
      </c>
    </row>
    <row r="44" spans="1:4" ht="15" customHeight="1">
      <c r="A44" s="6" t="s">
        <v>432</v>
      </c>
      <c r="B44" s="6" t="s">
        <v>482</v>
      </c>
      <c r="C44" s="6" t="s">
        <v>484</v>
      </c>
      <c r="D44" s="6" t="s">
        <v>498</v>
      </c>
    </row>
    <row r="45" spans="1:4" ht="15" customHeight="1">
      <c r="A45" s="6" t="s">
        <v>432</v>
      </c>
      <c r="B45" s="6" t="s">
        <v>482</v>
      </c>
      <c r="C45" s="6" t="s">
        <v>485</v>
      </c>
      <c r="D45" s="6" t="s">
        <v>498</v>
      </c>
    </row>
    <row r="46" spans="1:4" ht="15" customHeight="1">
      <c r="A46" s="6" t="s">
        <v>432</v>
      </c>
      <c r="B46" s="6" t="s">
        <v>482</v>
      </c>
      <c r="C46" s="6" t="s">
        <v>486</v>
      </c>
      <c r="D46" s="6" t="s">
        <v>498</v>
      </c>
    </row>
    <row r="47" spans="1:4" ht="15" customHeight="1">
      <c r="A47" s="6" t="s">
        <v>60</v>
      </c>
      <c r="B47" s="6" t="s">
        <v>488</v>
      </c>
      <c r="C47" s="6" t="s">
        <v>483</v>
      </c>
      <c r="D47" s="6" t="s">
        <v>498</v>
      </c>
    </row>
    <row r="48" spans="1:4" ht="15" customHeight="1">
      <c r="A48" s="6" t="s">
        <v>60</v>
      </c>
      <c r="B48" s="6" t="s">
        <v>488</v>
      </c>
      <c r="C48" s="6" t="s">
        <v>426</v>
      </c>
      <c r="D48" s="6" t="s">
        <v>498</v>
      </c>
    </row>
    <row r="49" spans="1:4" ht="15" customHeight="1">
      <c r="A49" s="6" t="s">
        <v>60</v>
      </c>
      <c r="B49" s="6" t="s">
        <v>488</v>
      </c>
      <c r="C49" s="6" t="s">
        <v>484</v>
      </c>
      <c r="D49" s="6" t="s">
        <v>498</v>
      </c>
    </row>
    <row r="50" spans="1:4" ht="15" customHeight="1">
      <c r="A50" s="6" t="s">
        <v>60</v>
      </c>
      <c r="B50" s="6" t="s">
        <v>488</v>
      </c>
      <c r="C50" s="6" t="s">
        <v>485</v>
      </c>
      <c r="D50" s="6" t="s">
        <v>498</v>
      </c>
    </row>
    <row r="51" spans="1:4" ht="15" customHeight="1">
      <c r="A51" s="6" t="s">
        <v>60</v>
      </c>
      <c r="B51" s="6" t="s">
        <v>488</v>
      </c>
      <c r="C51" s="6" t="s">
        <v>486</v>
      </c>
      <c r="D51" s="6" t="s">
        <v>498</v>
      </c>
    </row>
    <row r="52" spans="1:4" ht="15" customHeight="1">
      <c r="A52" s="6" t="s">
        <v>60</v>
      </c>
      <c r="B52" s="6" t="s">
        <v>438</v>
      </c>
      <c r="C52" s="6" t="s">
        <v>483</v>
      </c>
      <c r="D52" s="6" t="s">
        <v>498</v>
      </c>
    </row>
    <row r="53" spans="1:4" ht="15" customHeight="1">
      <c r="A53" s="6" t="s">
        <v>60</v>
      </c>
      <c r="B53" s="6" t="s">
        <v>438</v>
      </c>
      <c r="C53" s="6" t="s">
        <v>426</v>
      </c>
      <c r="D53" s="6" t="s">
        <v>498</v>
      </c>
    </row>
    <row r="54" spans="1:4" ht="15" customHeight="1">
      <c r="A54" s="6" t="s">
        <v>60</v>
      </c>
      <c r="B54" s="6" t="s">
        <v>438</v>
      </c>
      <c r="C54" s="6" t="s">
        <v>484</v>
      </c>
      <c r="D54" s="6" t="s">
        <v>498</v>
      </c>
    </row>
    <row r="55" spans="1:4" ht="15" customHeight="1">
      <c r="A55" s="6" t="s">
        <v>60</v>
      </c>
      <c r="B55" s="6" t="s">
        <v>438</v>
      </c>
      <c r="C55" s="6" t="s">
        <v>485</v>
      </c>
      <c r="D55" s="6" t="s">
        <v>498</v>
      </c>
    </row>
    <row r="56" spans="1:4" ht="15" customHeight="1">
      <c r="A56" s="6" t="s">
        <v>60</v>
      </c>
      <c r="B56" s="6" t="s">
        <v>438</v>
      </c>
      <c r="C56" s="6" t="s">
        <v>486</v>
      </c>
      <c r="D56" s="6" t="s">
        <v>498</v>
      </c>
    </row>
    <row r="57" spans="1:4" ht="15" customHeight="1">
      <c r="A57" s="6" t="s">
        <v>60</v>
      </c>
      <c r="B57" s="6" t="s">
        <v>489</v>
      </c>
      <c r="C57" s="6" t="s">
        <v>483</v>
      </c>
      <c r="D57" s="6" t="s">
        <v>498</v>
      </c>
    </row>
    <row r="58" spans="1:4" ht="15" customHeight="1">
      <c r="A58" s="6" t="s">
        <v>60</v>
      </c>
      <c r="B58" s="6" t="s">
        <v>489</v>
      </c>
      <c r="C58" s="6" t="s">
        <v>426</v>
      </c>
      <c r="D58" s="6" t="s">
        <v>498</v>
      </c>
    </row>
    <row r="59" spans="1:4" ht="15" customHeight="1">
      <c r="A59" s="6" t="s">
        <v>60</v>
      </c>
      <c r="B59" s="6" t="s">
        <v>489</v>
      </c>
      <c r="C59" s="6" t="s">
        <v>484</v>
      </c>
      <c r="D59" s="6" t="s">
        <v>498</v>
      </c>
    </row>
    <row r="60" spans="1:4" ht="15" customHeight="1">
      <c r="A60" s="6" t="s">
        <v>60</v>
      </c>
      <c r="B60" s="6" t="s">
        <v>489</v>
      </c>
      <c r="C60" s="6" t="s">
        <v>485</v>
      </c>
      <c r="D60" s="6" t="s">
        <v>498</v>
      </c>
    </row>
    <row r="61" spans="1:4" ht="15" customHeight="1">
      <c r="A61" s="6" t="s">
        <v>60</v>
      </c>
      <c r="B61" s="6" t="s">
        <v>489</v>
      </c>
      <c r="C61" s="6" t="s">
        <v>486</v>
      </c>
      <c r="D61" s="6" t="s">
        <v>498</v>
      </c>
    </row>
    <row r="62" spans="1:4" ht="15" customHeight="1">
      <c r="A62" s="6" t="s">
        <v>60</v>
      </c>
      <c r="B62" s="6" t="s">
        <v>482</v>
      </c>
      <c r="C62" s="6" t="s">
        <v>483</v>
      </c>
      <c r="D62" s="6" t="s">
        <v>498</v>
      </c>
    </row>
    <row r="63" spans="1:4" ht="15" customHeight="1">
      <c r="A63" s="6" t="s">
        <v>60</v>
      </c>
      <c r="B63" s="6" t="s">
        <v>482</v>
      </c>
      <c r="C63" s="6" t="s">
        <v>426</v>
      </c>
      <c r="D63" s="6" t="s">
        <v>498</v>
      </c>
    </row>
    <row r="64" spans="1:4" ht="15" customHeight="1">
      <c r="A64" s="6" t="s">
        <v>60</v>
      </c>
      <c r="B64" s="6" t="s">
        <v>482</v>
      </c>
      <c r="C64" s="6" t="s">
        <v>484</v>
      </c>
      <c r="D64" s="6" t="s">
        <v>498</v>
      </c>
    </row>
    <row r="65" spans="1:4" ht="15" customHeight="1">
      <c r="A65" s="6" t="s">
        <v>60</v>
      </c>
      <c r="B65" s="6" t="s">
        <v>482</v>
      </c>
      <c r="C65" s="6" t="s">
        <v>485</v>
      </c>
      <c r="D65" s="6" t="s">
        <v>498</v>
      </c>
    </row>
    <row r="66" spans="1:4" ht="15" customHeight="1">
      <c r="A66" s="6" t="s">
        <v>60</v>
      </c>
      <c r="B66" s="6" t="s">
        <v>482</v>
      </c>
      <c r="C66" s="6" t="s">
        <v>486</v>
      </c>
      <c r="D66" s="6" t="s">
        <v>498</v>
      </c>
    </row>
    <row r="67" spans="1:4" ht="15" customHeight="1">
      <c r="A67" s="6" t="s">
        <v>443</v>
      </c>
      <c r="B67" s="6" t="s">
        <v>490</v>
      </c>
      <c r="C67" s="6" t="s">
        <v>483</v>
      </c>
      <c r="D67" s="6" t="s">
        <v>498</v>
      </c>
    </row>
    <row r="68" spans="1:4" ht="15" customHeight="1">
      <c r="A68" s="6" t="s">
        <v>443</v>
      </c>
      <c r="B68" s="6" t="s">
        <v>490</v>
      </c>
      <c r="C68" s="6" t="s">
        <v>426</v>
      </c>
      <c r="D68" s="6" t="s">
        <v>498</v>
      </c>
    </row>
    <row r="69" spans="1:4" ht="15" customHeight="1">
      <c r="A69" s="6" t="s">
        <v>443</v>
      </c>
      <c r="B69" s="6" t="s">
        <v>490</v>
      </c>
      <c r="C69" s="6" t="s">
        <v>484</v>
      </c>
      <c r="D69" s="6" t="s">
        <v>498</v>
      </c>
    </row>
    <row r="70" spans="1:4" ht="15" customHeight="1">
      <c r="A70" s="6" t="s">
        <v>443</v>
      </c>
      <c r="B70" s="6" t="s">
        <v>490</v>
      </c>
      <c r="C70" s="6" t="s">
        <v>485</v>
      </c>
      <c r="D70" s="6" t="s">
        <v>498</v>
      </c>
    </row>
    <row r="71" spans="1:4" ht="15" customHeight="1">
      <c r="A71" s="6" t="s">
        <v>443</v>
      </c>
      <c r="B71" s="6" t="s">
        <v>490</v>
      </c>
      <c r="C71" s="6" t="s">
        <v>486</v>
      </c>
      <c r="D71" s="6" t="s">
        <v>498</v>
      </c>
    </row>
    <row r="72" spans="1:4" ht="15" customHeight="1">
      <c r="A72" s="6" t="s">
        <v>443</v>
      </c>
      <c r="B72" s="6" t="s">
        <v>445</v>
      </c>
      <c r="C72" s="6" t="s">
        <v>483</v>
      </c>
      <c r="D72" s="6" t="s">
        <v>498</v>
      </c>
    </row>
    <row r="73" spans="1:4" ht="15" customHeight="1">
      <c r="A73" s="6" t="s">
        <v>443</v>
      </c>
      <c r="B73" s="6" t="s">
        <v>445</v>
      </c>
      <c r="C73" s="6" t="s">
        <v>426</v>
      </c>
      <c r="D73" s="6" t="s">
        <v>498</v>
      </c>
    </row>
    <row r="74" spans="1:4" ht="15" customHeight="1">
      <c r="A74" s="6" t="s">
        <v>443</v>
      </c>
      <c r="B74" s="6" t="s">
        <v>445</v>
      </c>
      <c r="C74" s="6" t="s">
        <v>484</v>
      </c>
      <c r="D74" s="6" t="s">
        <v>498</v>
      </c>
    </row>
    <row r="75" spans="1:4" ht="15" customHeight="1">
      <c r="A75" s="6" t="s">
        <v>443</v>
      </c>
      <c r="B75" s="6" t="s">
        <v>445</v>
      </c>
      <c r="C75" s="6" t="s">
        <v>485</v>
      </c>
      <c r="D75" s="6" t="s">
        <v>498</v>
      </c>
    </row>
    <row r="76" spans="1:4" ht="15" customHeight="1">
      <c r="A76" s="6" t="s">
        <v>443</v>
      </c>
      <c r="B76" s="6" t="s">
        <v>445</v>
      </c>
      <c r="C76" s="6" t="s">
        <v>486</v>
      </c>
      <c r="D76" s="6" t="s">
        <v>498</v>
      </c>
    </row>
    <row r="77" spans="1:4" ht="15" customHeight="1">
      <c r="A77" s="6" t="s">
        <v>443</v>
      </c>
      <c r="B77" s="6" t="s">
        <v>491</v>
      </c>
      <c r="C77" s="6" t="s">
        <v>483</v>
      </c>
      <c r="D77" s="6" t="s">
        <v>498</v>
      </c>
    </row>
    <row r="78" spans="1:4" ht="15" customHeight="1">
      <c r="A78" s="6" t="s">
        <v>443</v>
      </c>
      <c r="B78" s="6" t="s">
        <v>491</v>
      </c>
      <c r="C78" s="6" t="s">
        <v>426</v>
      </c>
      <c r="D78" s="6" t="s">
        <v>498</v>
      </c>
    </row>
    <row r="79" spans="1:4" ht="15" customHeight="1">
      <c r="A79" s="6" t="s">
        <v>443</v>
      </c>
      <c r="B79" s="6" t="s">
        <v>491</v>
      </c>
      <c r="C79" s="6" t="s">
        <v>484</v>
      </c>
      <c r="D79" s="6" t="s">
        <v>498</v>
      </c>
    </row>
    <row r="80" spans="1:4" ht="15" customHeight="1">
      <c r="A80" s="6" t="s">
        <v>443</v>
      </c>
      <c r="B80" s="6" t="s">
        <v>491</v>
      </c>
      <c r="C80" s="6" t="s">
        <v>485</v>
      </c>
      <c r="D80" s="6" t="s">
        <v>498</v>
      </c>
    </row>
    <row r="81" spans="1:4" ht="15" customHeight="1">
      <c r="A81" s="6" t="s">
        <v>443</v>
      </c>
      <c r="B81" s="6" t="s">
        <v>491</v>
      </c>
      <c r="C81" s="6" t="s">
        <v>486</v>
      </c>
      <c r="D81" s="6" t="s">
        <v>498</v>
      </c>
    </row>
    <row r="82" spans="1:4" ht="15" customHeight="1">
      <c r="A82" s="6" t="s">
        <v>443</v>
      </c>
      <c r="B82" s="6" t="s">
        <v>482</v>
      </c>
      <c r="C82" s="6" t="s">
        <v>483</v>
      </c>
      <c r="D82" s="6" t="s">
        <v>498</v>
      </c>
    </row>
    <row r="83" spans="1:4" ht="15" customHeight="1">
      <c r="A83" s="6" t="s">
        <v>443</v>
      </c>
      <c r="B83" s="6" t="s">
        <v>482</v>
      </c>
      <c r="C83" s="6" t="s">
        <v>426</v>
      </c>
      <c r="D83" s="6" t="s">
        <v>498</v>
      </c>
    </row>
    <row r="84" spans="1:4" ht="15" customHeight="1">
      <c r="A84" s="6" t="s">
        <v>443</v>
      </c>
      <c r="B84" s="6" t="s">
        <v>482</v>
      </c>
      <c r="C84" s="6" t="s">
        <v>484</v>
      </c>
      <c r="D84" s="6" t="s">
        <v>498</v>
      </c>
    </row>
    <row r="85" spans="1:4" ht="15" customHeight="1">
      <c r="A85" s="6" t="s">
        <v>443</v>
      </c>
      <c r="B85" s="6" t="s">
        <v>482</v>
      </c>
      <c r="C85" s="6" t="s">
        <v>485</v>
      </c>
      <c r="D85" s="6" t="s">
        <v>498</v>
      </c>
    </row>
    <row r="86" spans="1:4" ht="15" customHeight="1">
      <c r="A86" s="6" t="s">
        <v>443</v>
      </c>
      <c r="B86" s="6" t="s">
        <v>482</v>
      </c>
      <c r="C86" s="6" t="s">
        <v>486</v>
      </c>
      <c r="D86" s="6" t="s">
        <v>498</v>
      </c>
    </row>
    <row r="87" spans="1:4" ht="15" customHeight="1">
      <c r="A87" s="6" t="s">
        <v>449</v>
      </c>
      <c r="B87" s="6" t="s">
        <v>492</v>
      </c>
      <c r="C87" s="6" t="s">
        <v>483</v>
      </c>
      <c r="D87" s="6" t="s">
        <v>498</v>
      </c>
    </row>
    <row r="88" spans="1:4" ht="15" customHeight="1">
      <c r="A88" s="6" t="s">
        <v>449</v>
      </c>
      <c r="B88" s="6" t="s">
        <v>492</v>
      </c>
      <c r="C88" s="6" t="s">
        <v>426</v>
      </c>
      <c r="D88" s="6" t="s">
        <v>498</v>
      </c>
    </row>
    <row r="89" spans="1:4" ht="15" customHeight="1">
      <c r="A89" s="6" t="s">
        <v>449</v>
      </c>
      <c r="B89" s="6" t="s">
        <v>492</v>
      </c>
      <c r="C89" s="6" t="s">
        <v>484</v>
      </c>
      <c r="D89" s="6" t="s">
        <v>498</v>
      </c>
    </row>
    <row r="90" spans="1:4" ht="15" customHeight="1">
      <c r="A90" s="6" t="s">
        <v>449</v>
      </c>
      <c r="B90" s="6" t="s">
        <v>492</v>
      </c>
      <c r="C90" s="6" t="s">
        <v>485</v>
      </c>
      <c r="D90" s="6" t="s">
        <v>498</v>
      </c>
    </row>
    <row r="91" spans="1:4" ht="15" customHeight="1">
      <c r="A91" s="6" t="s">
        <v>449</v>
      </c>
      <c r="B91" s="6" t="s">
        <v>492</v>
      </c>
      <c r="C91" s="6" t="s">
        <v>486</v>
      </c>
      <c r="D91" s="6" t="s">
        <v>498</v>
      </c>
    </row>
    <row r="92" spans="1:4" ht="15" customHeight="1">
      <c r="A92" s="6" t="s">
        <v>449</v>
      </c>
      <c r="B92" s="6" t="s">
        <v>451</v>
      </c>
      <c r="C92" s="6" t="s">
        <v>483</v>
      </c>
      <c r="D92" s="6" t="s">
        <v>498</v>
      </c>
    </row>
    <row r="93" spans="1:4" ht="15" customHeight="1">
      <c r="A93" s="6" t="s">
        <v>449</v>
      </c>
      <c r="B93" s="6" t="s">
        <v>451</v>
      </c>
      <c r="C93" s="6" t="s">
        <v>426</v>
      </c>
      <c r="D93" s="6" t="s">
        <v>498</v>
      </c>
    </row>
    <row r="94" spans="1:4" ht="15" customHeight="1">
      <c r="A94" s="6" t="s">
        <v>449</v>
      </c>
      <c r="B94" s="6" t="s">
        <v>451</v>
      </c>
      <c r="C94" s="6" t="s">
        <v>484</v>
      </c>
      <c r="D94" s="6" t="s">
        <v>498</v>
      </c>
    </row>
    <row r="95" spans="1:4" ht="15" customHeight="1">
      <c r="A95" s="6" t="s">
        <v>449</v>
      </c>
      <c r="B95" s="6" t="s">
        <v>451</v>
      </c>
      <c r="C95" s="6" t="s">
        <v>485</v>
      </c>
      <c r="D95" s="6" t="s">
        <v>498</v>
      </c>
    </row>
    <row r="96" spans="1:4" ht="15" customHeight="1">
      <c r="A96" s="6" t="s">
        <v>449</v>
      </c>
      <c r="B96" s="6" t="s">
        <v>451</v>
      </c>
      <c r="C96" s="6" t="s">
        <v>486</v>
      </c>
      <c r="D96" s="6" t="s">
        <v>498</v>
      </c>
    </row>
    <row r="97" spans="1:4" ht="15" customHeight="1">
      <c r="A97" s="6" t="s">
        <v>449</v>
      </c>
      <c r="B97" s="6" t="s">
        <v>493</v>
      </c>
      <c r="C97" s="6" t="s">
        <v>483</v>
      </c>
      <c r="D97" s="6" t="s">
        <v>498</v>
      </c>
    </row>
    <row r="98" spans="1:4" ht="15" customHeight="1">
      <c r="A98" s="6" t="s">
        <v>449</v>
      </c>
      <c r="B98" s="6" t="s">
        <v>493</v>
      </c>
      <c r="C98" s="6" t="s">
        <v>426</v>
      </c>
      <c r="D98" s="6" t="s">
        <v>498</v>
      </c>
    </row>
    <row r="99" spans="1:4" ht="15" customHeight="1">
      <c r="A99" s="6" t="s">
        <v>449</v>
      </c>
      <c r="B99" s="6" t="s">
        <v>493</v>
      </c>
      <c r="C99" s="6" t="s">
        <v>484</v>
      </c>
      <c r="D99" s="6" t="s">
        <v>498</v>
      </c>
    </row>
    <row r="100" spans="1:4" ht="15" customHeight="1">
      <c r="A100" s="6" t="s">
        <v>449</v>
      </c>
      <c r="B100" s="6" t="s">
        <v>493</v>
      </c>
      <c r="C100" s="6" t="s">
        <v>485</v>
      </c>
      <c r="D100" s="6" t="s">
        <v>498</v>
      </c>
    </row>
    <row r="101" spans="1:4" ht="15" customHeight="1">
      <c r="A101" s="6" t="s">
        <v>449</v>
      </c>
      <c r="B101" s="6" t="s">
        <v>493</v>
      </c>
      <c r="C101" s="6" t="s">
        <v>486</v>
      </c>
      <c r="D101" s="6" t="s">
        <v>498</v>
      </c>
    </row>
    <row r="102" spans="1:4" ht="15" customHeight="1">
      <c r="A102" s="6" t="s">
        <v>449</v>
      </c>
      <c r="B102" s="6" t="s">
        <v>482</v>
      </c>
      <c r="C102" s="6" t="s">
        <v>483</v>
      </c>
      <c r="D102" s="6" t="s">
        <v>498</v>
      </c>
    </row>
    <row r="103" spans="1:4" ht="15" customHeight="1">
      <c r="A103" s="6" t="s">
        <v>449</v>
      </c>
      <c r="B103" s="6" t="s">
        <v>482</v>
      </c>
      <c r="C103" s="6" t="s">
        <v>426</v>
      </c>
      <c r="D103" s="6" t="s">
        <v>498</v>
      </c>
    </row>
    <row r="104" spans="1:4" ht="15" customHeight="1">
      <c r="A104" s="6" t="s">
        <v>449</v>
      </c>
      <c r="B104" s="6" t="s">
        <v>482</v>
      </c>
      <c r="C104" s="6" t="s">
        <v>484</v>
      </c>
      <c r="D104" s="6" t="s">
        <v>498</v>
      </c>
    </row>
    <row r="105" spans="1:4" ht="15" customHeight="1">
      <c r="A105" s="6" t="s">
        <v>449</v>
      </c>
      <c r="B105" s="6" t="s">
        <v>482</v>
      </c>
      <c r="C105" s="6" t="s">
        <v>485</v>
      </c>
      <c r="D105" s="6" t="s">
        <v>498</v>
      </c>
    </row>
    <row r="106" spans="1:4" ht="15" customHeight="1">
      <c r="A106" s="6" t="s">
        <v>449</v>
      </c>
      <c r="B106" s="6" t="s">
        <v>482</v>
      </c>
      <c r="C106" s="6" t="s">
        <v>486</v>
      </c>
      <c r="D106" s="6" t="s">
        <v>498</v>
      </c>
    </row>
    <row r="107" spans="1:4" ht="15" customHeight="1">
      <c r="A107" s="6" t="s">
        <v>456</v>
      </c>
      <c r="B107" s="6" t="s">
        <v>494</v>
      </c>
      <c r="C107" s="6" t="s">
        <v>483</v>
      </c>
      <c r="D107" s="6" t="s">
        <v>498</v>
      </c>
    </row>
    <row r="108" spans="1:4" ht="15" customHeight="1">
      <c r="A108" s="6" t="s">
        <v>456</v>
      </c>
      <c r="B108" s="6" t="s">
        <v>494</v>
      </c>
      <c r="C108" s="6" t="s">
        <v>426</v>
      </c>
      <c r="D108" s="6" t="s">
        <v>498</v>
      </c>
    </row>
    <row r="109" spans="1:4" ht="15" customHeight="1">
      <c r="A109" s="6" t="s">
        <v>456</v>
      </c>
      <c r="B109" s="6" t="s">
        <v>494</v>
      </c>
      <c r="C109" s="6" t="s">
        <v>484</v>
      </c>
      <c r="D109" s="6" t="s">
        <v>498</v>
      </c>
    </row>
    <row r="110" spans="1:4" ht="15" customHeight="1">
      <c r="A110" s="6" t="s">
        <v>456</v>
      </c>
      <c r="B110" s="6" t="s">
        <v>494</v>
      </c>
      <c r="C110" s="6" t="s">
        <v>485</v>
      </c>
      <c r="D110" s="6" t="s">
        <v>498</v>
      </c>
    </row>
    <row r="111" spans="1:4" ht="15" customHeight="1">
      <c r="A111" s="6" t="s">
        <v>456</v>
      </c>
      <c r="B111" s="6" t="s">
        <v>494</v>
      </c>
      <c r="C111" s="6" t="s">
        <v>486</v>
      </c>
      <c r="D111" s="6" t="s">
        <v>498</v>
      </c>
    </row>
    <row r="112" spans="1:4" ht="15" customHeight="1">
      <c r="A112" s="6" t="s">
        <v>456</v>
      </c>
      <c r="B112" s="6" t="s">
        <v>458</v>
      </c>
      <c r="C112" s="6" t="s">
        <v>483</v>
      </c>
      <c r="D112" s="6" t="s">
        <v>498</v>
      </c>
    </row>
    <row r="113" spans="1:4" ht="15" customHeight="1">
      <c r="A113" s="6" t="s">
        <v>456</v>
      </c>
      <c r="B113" s="6" t="s">
        <v>458</v>
      </c>
      <c r="C113" s="6" t="s">
        <v>426</v>
      </c>
      <c r="D113" s="6" t="s">
        <v>498</v>
      </c>
    </row>
    <row r="114" spans="1:4" ht="15" customHeight="1">
      <c r="A114" s="6" t="s">
        <v>456</v>
      </c>
      <c r="B114" s="6" t="s">
        <v>458</v>
      </c>
      <c r="C114" s="6" t="s">
        <v>484</v>
      </c>
      <c r="D114" s="6" t="s">
        <v>498</v>
      </c>
    </row>
    <row r="115" spans="1:4" ht="15" customHeight="1">
      <c r="A115" s="6" t="s">
        <v>456</v>
      </c>
      <c r="B115" s="6" t="s">
        <v>458</v>
      </c>
      <c r="C115" s="6" t="s">
        <v>485</v>
      </c>
      <c r="D115" s="6" t="s">
        <v>498</v>
      </c>
    </row>
    <row r="116" spans="1:4" ht="15" customHeight="1">
      <c r="A116" s="6" t="s">
        <v>456</v>
      </c>
      <c r="B116" s="6" t="s">
        <v>458</v>
      </c>
      <c r="C116" s="6" t="s">
        <v>486</v>
      </c>
      <c r="D116" s="6" t="s">
        <v>498</v>
      </c>
    </row>
    <row r="117" spans="1:4" ht="15" customHeight="1">
      <c r="A117" s="6" t="s">
        <v>456</v>
      </c>
      <c r="B117" s="6" t="s">
        <v>495</v>
      </c>
      <c r="C117" s="6" t="s">
        <v>483</v>
      </c>
      <c r="D117" s="6" t="s">
        <v>498</v>
      </c>
    </row>
    <row r="118" spans="1:4" ht="15" customHeight="1">
      <c r="A118" s="6" t="s">
        <v>456</v>
      </c>
      <c r="B118" s="6" t="s">
        <v>495</v>
      </c>
      <c r="C118" s="6" t="s">
        <v>426</v>
      </c>
      <c r="D118" s="6" t="s">
        <v>498</v>
      </c>
    </row>
    <row r="119" spans="1:4" ht="15" customHeight="1">
      <c r="A119" s="6" t="s">
        <v>456</v>
      </c>
      <c r="B119" s="6" t="s">
        <v>495</v>
      </c>
      <c r="C119" s="6" t="s">
        <v>484</v>
      </c>
      <c r="D119" s="6" t="s">
        <v>498</v>
      </c>
    </row>
    <row r="120" spans="1:4" ht="15" customHeight="1">
      <c r="A120" s="6" t="s">
        <v>456</v>
      </c>
      <c r="B120" s="6" t="s">
        <v>495</v>
      </c>
      <c r="C120" s="6" t="s">
        <v>485</v>
      </c>
      <c r="D120" s="6" t="s">
        <v>498</v>
      </c>
    </row>
    <row r="121" spans="1:4" ht="15" customHeight="1">
      <c r="A121" s="6" t="s">
        <v>456</v>
      </c>
      <c r="B121" s="6" t="s">
        <v>495</v>
      </c>
      <c r="C121" s="6" t="s">
        <v>486</v>
      </c>
      <c r="D121" s="6" t="s">
        <v>498</v>
      </c>
    </row>
    <row r="122" spans="1:4" ht="15" customHeight="1">
      <c r="A122" s="6" t="s">
        <v>456</v>
      </c>
      <c r="B122" s="6" t="s">
        <v>482</v>
      </c>
      <c r="C122" s="6" t="s">
        <v>483</v>
      </c>
      <c r="D122" s="6" t="s">
        <v>498</v>
      </c>
    </row>
    <row r="123" spans="1:4" ht="15" customHeight="1">
      <c r="A123" s="6" t="s">
        <v>456</v>
      </c>
      <c r="B123" s="6" t="s">
        <v>482</v>
      </c>
      <c r="C123" s="6" t="s">
        <v>426</v>
      </c>
      <c r="D123" s="6" t="s">
        <v>498</v>
      </c>
    </row>
    <row r="124" spans="1:4" ht="15" customHeight="1">
      <c r="A124" s="6" t="s">
        <v>456</v>
      </c>
      <c r="B124" s="6" t="s">
        <v>482</v>
      </c>
      <c r="C124" s="6" t="s">
        <v>484</v>
      </c>
      <c r="D124" s="6" t="s">
        <v>498</v>
      </c>
    </row>
    <row r="125" spans="1:4" ht="15" customHeight="1">
      <c r="A125" s="6" t="s">
        <v>456</v>
      </c>
      <c r="B125" s="6" t="s">
        <v>482</v>
      </c>
      <c r="C125" s="6" t="s">
        <v>485</v>
      </c>
      <c r="D125" s="6" t="s">
        <v>498</v>
      </c>
    </row>
    <row r="126" spans="1:4" ht="15" customHeight="1">
      <c r="A126" s="6" t="s">
        <v>456</v>
      </c>
      <c r="B126" s="6" t="s">
        <v>482</v>
      </c>
      <c r="C126" s="6" t="s">
        <v>486</v>
      </c>
      <c r="D126" s="6" t="s">
        <v>498</v>
      </c>
    </row>
    <row r="127" spans="1:4" ht="15" customHeight="1">
      <c r="A127" s="6" t="s">
        <v>462</v>
      </c>
      <c r="B127" s="6" t="s">
        <v>496</v>
      </c>
      <c r="C127" s="6" t="s">
        <v>483</v>
      </c>
      <c r="D127" s="6" t="s">
        <v>498</v>
      </c>
    </row>
    <row r="128" spans="1:4" ht="15" customHeight="1">
      <c r="A128" s="6" t="s">
        <v>462</v>
      </c>
      <c r="B128" s="6" t="s">
        <v>496</v>
      </c>
      <c r="C128" s="6" t="s">
        <v>426</v>
      </c>
      <c r="D128" s="6" t="s">
        <v>498</v>
      </c>
    </row>
    <row r="129" spans="1:4" ht="15" customHeight="1">
      <c r="A129" s="6" t="s">
        <v>462</v>
      </c>
      <c r="B129" s="6" t="s">
        <v>496</v>
      </c>
      <c r="C129" s="6" t="s">
        <v>484</v>
      </c>
      <c r="D129" s="6" t="s">
        <v>498</v>
      </c>
    </row>
    <row r="130" spans="1:4" ht="15" customHeight="1">
      <c r="A130" s="6" t="s">
        <v>462</v>
      </c>
      <c r="B130" s="6" t="s">
        <v>496</v>
      </c>
      <c r="C130" s="6" t="s">
        <v>485</v>
      </c>
      <c r="D130" s="6" t="s">
        <v>498</v>
      </c>
    </row>
    <row r="131" spans="1:4" ht="15" customHeight="1">
      <c r="A131" s="6" t="s">
        <v>462</v>
      </c>
      <c r="B131" s="6" t="s">
        <v>496</v>
      </c>
      <c r="C131" s="6" t="s">
        <v>486</v>
      </c>
      <c r="D131" s="6" t="s">
        <v>498</v>
      </c>
    </row>
    <row r="132" spans="1:4" ht="15" customHeight="1">
      <c r="A132" s="6" t="s">
        <v>462</v>
      </c>
      <c r="B132" s="6" t="s">
        <v>458</v>
      </c>
      <c r="C132" s="6" t="s">
        <v>483</v>
      </c>
      <c r="D132" s="6" t="s">
        <v>498</v>
      </c>
    </row>
    <row r="133" spans="1:4" ht="15" customHeight="1">
      <c r="A133" s="6" t="s">
        <v>462</v>
      </c>
      <c r="B133" s="6" t="s">
        <v>458</v>
      </c>
      <c r="C133" s="6" t="s">
        <v>426</v>
      </c>
      <c r="D133" s="6" t="s">
        <v>498</v>
      </c>
    </row>
    <row r="134" spans="1:4" ht="15" customHeight="1">
      <c r="A134" s="6" t="s">
        <v>462</v>
      </c>
      <c r="B134" s="6" t="s">
        <v>458</v>
      </c>
      <c r="C134" s="6" t="s">
        <v>484</v>
      </c>
      <c r="D134" s="6" t="s">
        <v>498</v>
      </c>
    </row>
    <row r="135" spans="1:4" ht="15" customHeight="1">
      <c r="A135" s="6" t="s">
        <v>462</v>
      </c>
      <c r="B135" s="6" t="s">
        <v>458</v>
      </c>
      <c r="C135" s="6" t="s">
        <v>485</v>
      </c>
      <c r="D135" s="6" t="s">
        <v>498</v>
      </c>
    </row>
    <row r="136" spans="1:4" ht="15" customHeight="1">
      <c r="A136" s="6" t="s">
        <v>462</v>
      </c>
      <c r="B136" s="6" t="s">
        <v>458</v>
      </c>
      <c r="C136" s="6" t="s">
        <v>486</v>
      </c>
      <c r="D136" s="6" t="s">
        <v>498</v>
      </c>
    </row>
    <row r="137" spans="1:4" ht="15" customHeight="1">
      <c r="A137" s="6" t="s">
        <v>462</v>
      </c>
      <c r="B137" s="6" t="s">
        <v>495</v>
      </c>
      <c r="C137" s="6" t="s">
        <v>483</v>
      </c>
      <c r="D137" s="6" t="s">
        <v>498</v>
      </c>
    </row>
    <row r="138" spans="1:4" ht="15" customHeight="1">
      <c r="A138" s="6" t="s">
        <v>462</v>
      </c>
      <c r="B138" s="6" t="s">
        <v>495</v>
      </c>
      <c r="C138" s="6" t="s">
        <v>426</v>
      </c>
      <c r="D138" s="6" t="s">
        <v>498</v>
      </c>
    </row>
    <row r="139" spans="1:4" ht="15" customHeight="1">
      <c r="A139" s="6" t="s">
        <v>462</v>
      </c>
      <c r="B139" s="6" t="s">
        <v>495</v>
      </c>
      <c r="C139" s="6" t="s">
        <v>484</v>
      </c>
      <c r="D139" s="6" t="s">
        <v>498</v>
      </c>
    </row>
    <row r="140" spans="1:4" ht="15" customHeight="1">
      <c r="A140" s="6" t="s">
        <v>462</v>
      </c>
      <c r="B140" s="6" t="s">
        <v>495</v>
      </c>
      <c r="C140" s="6" t="s">
        <v>485</v>
      </c>
      <c r="D140" s="6" t="s">
        <v>498</v>
      </c>
    </row>
    <row r="141" spans="1:4" ht="15" customHeight="1">
      <c r="A141" s="6" t="s">
        <v>462</v>
      </c>
      <c r="B141" s="6" t="s">
        <v>495</v>
      </c>
      <c r="C141" s="6" t="s">
        <v>486</v>
      </c>
      <c r="D141" s="6" t="s">
        <v>498</v>
      </c>
    </row>
    <row r="142" spans="1:4" ht="15" customHeight="1">
      <c r="A142" s="6" t="s">
        <v>462</v>
      </c>
      <c r="B142" s="6" t="s">
        <v>482</v>
      </c>
      <c r="C142" s="6" t="s">
        <v>483</v>
      </c>
      <c r="D142" s="6" t="s">
        <v>498</v>
      </c>
    </row>
    <row r="143" spans="1:4" ht="15" customHeight="1">
      <c r="A143" s="6" t="s">
        <v>462</v>
      </c>
      <c r="B143" s="6" t="s">
        <v>482</v>
      </c>
      <c r="C143" s="6" t="s">
        <v>426</v>
      </c>
      <c r="D143" s="6" t="s">
        <v>498</v>
      </c>
    </row>
    <row r="144" spans="1:4" ht="15" customHeight="1">
      <c r="A144" s="6" t="s">
        <v>462</v>
      </c>
      <c r="B144" s="6" t="s">
        <v>482</v>
      </c>
      <c r="C144" s="6" t="s">
        <v>484</v>
      </c>
      <c r="D144" s="6" t="s">
        <v>498</v>
      </c>
    </row>
    <row r="145" spans="1:4" ht="15" customHeight="1">
      <c r="A145" s="6" t="s">
        <v>462</v>
      </c>
      <c r="B145" s="6" t="s">
        <v>482</v>
      </c>
      <c r="C145" s="6" t="s">
        <v>485</v>
      </c>
      <c r="D145" s="6" t="s">
        <v>498</v>
      </c>
    </row>
    <row r="146" spans="1:4" ht="15" customHeight="1">
      <c r="A146" s="6" t="s">
        <v>462</v>
      </c>
      <c r="B146" s="6" t="s">
        <v>482</v>
      </c>
      <c r="C146" s="6" t="s">
        <v>486</v>
      </c>
      <c r="D146" s="6" t="s">
        <v>498</v>
      </c>
    </row>
    <row r="147" spans="1:4" ht="15" customHeight="1">
      <c r="A147" s="6" t="s">
        <v>466</v>
      </c>
      <c r="B147" s="6" t="s">
        <v>467</v>
      </c>
      <c r="C147" s="6" t="s">
        <v>483</v>
      </c>
      <c r="D147" s="6" t="s">
        <v>498</v>
      </c>
    </row>
    <row r="148" spans="1:4" ht="15" customHeight="1">
      <c r="A148" s="6" t="s">
        <v>466</v>
      </c>
      <c r="B148" s="6" t="s">
        <v>467</v>
      </c>
      <c r="C148" s="6" t="s">
        <v>426</v>
      </c>
      <c r="D148" s="6" t="s">
        <v>498</v>
      </c>
    </row>
    <row r="149" spans="1:4" ht="15" customHeight="1">
      <c r="A149" s="6" t="s">
        <v>466</v>
      </c>
      <c r="B149" s="6" t="s">
        <v>467</v>
      </c>
      <c r="C149" s="6" t="s">
        <v>484</v>
      </c>
      <c r="D149" s="6" t="s">
        <v>498</v>
      </c>
    </row>
    <row r="150" spans="1:4" ht="15" customHeight="1">
      <c r="A150" s="6" t="s">
        <v>466</v>
      </c>
      <c r="B150" s="6" t="s">
        <v>467</v>
      </c>
      <c r="C150" s="6" t="s">
        <v>485</v>
      </c>
      <c r="D150" s="6" t="s">
        <v>498</v>
      </c>
    </row>
    <row r="151" spans="1:4" ht="15" customHeight="1">
      <c r="A151" s="6" t="s">
        <v>466</v>
      </c>
      <c r="B151" s="6" t="s">
        <v>467</v>
      </c>
      <c r="C151" s="6" t="s">
        <v>486</v>
      </c>
      <c r="D151" s="6" t="s">
        <v>498</v>
      </c>
    </row>
  </sheetData>
  <sheetProtection sheet="1" objects="1" scenarios="1" formatCells="0" formatColumns="0" formatRows="0" sort="0" autoFilter="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9"/>
  <sheetViews>
    <sheetView showGridLines="0" workbookViewId="0">
      <selection sqref="A1:B1"/>
    </sheetView>
  </sheetViews>
  <sheetFormatPr baseColWidth="10" defaultColWidth="8.83203125" defaultRowHeight="14"/>
  <cols>
    <col min="1" max="1" width="28" customWidth="1"/>
    <col min="2" max="2" width="100" customWidth="1"/>
  </cols>
  <sheetData>
    <row r="1" spans="1:2" ht="19.25" customHeight="1">
      <c r="A1" s="44" t="s">
        <v>499</v>
      </c>
      <c r="B1" s="45"/>
    </row>
    <row r="2" spans="1:2" ht="15" customHeight="1">
      <c r="A2" s="1" t="s">
        <v>500</v>
      </c>
      <c r="B2" s="1" t="s">
        <v>501</v>
      </c>
    </row>
    <row r="3" spans="1:2" ht="15" customHeight="1">
      <c r="A3" s="1" t="s">
        <v>502</v>
      </c>
      <c r="B3" s="1" t="s">
        <v>503</v>
      </c>
    </row>
    <row r="4" spans="1:2" ht="15" customHeight="1">
      <c r="A4" s="1" t="s">
        <v>8</v>
      </c>
      <c r="B4" s="1" t="s">
        <v>504</v>
      </c>
    </row>
    <row r="5" spans="1:2" ht="15" customHeight="1">
      <c r="A5" s="1" t="s">
        <v>12</v>
      </c>
      <c r="B5" s="1" t="s">
        <v>505</v>
      </c>
    </row>
    <row r="6" spans="1:2" ht="15" customHeight="1">
      <c r="A6" s="1" t="s">
        <v>15</v>
      </c>
      <c r="B6" s="1" t="s">
        <v>506</v>
      </c>
    </row>
    <row r="7" spans="1:2" ht="15" customHeight="1">
      <c r="A7" s="1" t="s">
        <v>19</v>
      </c>
      <c r="B7" s="1" t="s">
        <v>507</v>
      </c>
    </row>
    <row r="8" spans="1:2" ht="15" customHeight="1">
      <c r="A8" s="1" t="s">
        <v>22</v>
      </c>
      <c r="B8" s="1" t="s">
        <v>508</v>
      </c>
    </row>
    <row r="9" spans="1:2" ht="15" customHeight="1">
      <c r="A9" s="1" t="s">
        <v>509</v>
      </c>
      <c r="B9" s="1" t="s">
        <v>510</v>
      </c>
    </row>
    <row r="10" spans="1:2" ht="15" customHeight="1">
      <c r="A10" s="1" t="s">
        <v>511</v>
      </c>
      <c r="B10" s="1" t="s">
        <v>512</v>
      </c>
    </row>
    <row r="11" spans="1:2" ht="15" customHeight="1">
      <c r="A11" s="1" t="s">
        <v>513</v>
      </c>
      <c r="B11" s="1" t="s">
        <v>514</v>
      </c>
    </row>
    <row r="12" spans="1:2" ht="26.25" customHeight="1">
      <c r="A12" s="1" t="s">
        <v>515</v>
      </c>
      <c r="B12" s="1" t="s">
        <v>516</v>
      </c>
    </row>
    <row r="13" spans="1:2" ht="15" customHeight="1">
      <c r="A13" s="1"/>
      <c r="B13" s="1"/>
    </row>
    <row r="14" spans="1:2" ht="15" customHeight="1">
      <c r="A14" s="20" t="s">
        <v>517</v>
      </c>
      <c r="B14" s="20" t="s">
        <v>518</v>
      </c>
    </row>
    <row r="15" spans="1:2" ht="15" customHeight="1">
      <c r="A15" s="1" t="s">
        <v>519</v>
      </c>
      <c r="B15" s="1" t="s">
        <v>520</v>
      </c>
    </row>
    <row r="16" spans="1:2" ht="15" customHeight="1">
      <c r="A16" s="1" t="s">
        <v>344</v>
      </c>
      <c r="B16" s="1" t="s">
        <v>521</v>
      </c>
    </row>
    <row r="17" spans="1:2" ht="15" customHeight="1">
      <c r="A17" s="1" t="s">
        <v>522</v>
      </c>
      <c r="B17" s="1" t="s">
        <v>523</v>
      </c>
    </row>
    <row r="18" spans="1:2" ht="15" customHeight="1">
      <c r="A18" s="1" t="s">
        <v>524</v>
      </c>
      <c r="B18" s="1" t="s">
        <v>525</v>
      </c>
    </row>
    <row r="19" spans="1:2" ht="15" customHeight="1">
      <c r="A19" s="1" t="s">
        <v>165</v>
      </c>
      <c r="B19" s="1" t="s">
        <v>526</v>
      </c>
    </row>
  </sheetData>
  <sheetProtection sheet="1" objects="1" scenarios="1" formatCells="0" formatColumns="0" formatRows="0" sort="0" autoFilter="0"/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Start Here</vt:lpstr>
      <vt:lpstr>Company &amp; Tax Profile</vt:lpstr>
      <vt:lpstr>Inputs</vt:lpstr>
      <vt:lpstr>Engine</vt:lpstr>
      <vt:lpstr>Pricing Scenarios</vt:lpstr>
      <vt:lpstr>Sensitivity</vt:lpstr>
      <vt:lpstr>Vehicle Classes</vt:lpstr>
      <vt:lpstr>Tax Rules</vt:lpstr>
      <vt:lpstr>Dropdown Helper</vt:lpstr>
      <vt:lpstr>Cascade Lists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Marius Ciobanu</cp:lastModifiedBy>
  <dcterms:created xsi:type="dcterms:W3CDTF">2026-05-05T21:10:32Z</dcterms:created>
  <dcterms:modified xsi:type="dcterms:W3CDTF">2026-05-05T21:13:13Z</dcterms:modified>
</cp:coreProperties>
</file>