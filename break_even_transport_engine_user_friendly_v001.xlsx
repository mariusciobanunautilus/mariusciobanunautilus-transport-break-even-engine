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e8becfc96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667d33cc1b74612"/>
    <x:sheet xmlns:r="http://schemas.openxmlformats.org/officeDocument/2006/relationships" name="Company &amp; Tax Profile" sheetId="2" r:id="Rd11bc453d7d543cc"/>
    <x:sheet xmlns:r="http://schemas.openxmlformats.org/officeDocument/2006/relationships" name="Inputs" sheetId="3" r:id="R1bd5fc54edc944ca"/>
    <x:sheet xmlns:r="http://schemas.openxmlformats.org/officeDocument/2006/relationships" name="Engine" sheetId="4" r:id="R43ceca4697414c1f"/>
    <x:sheet xmlns:r="http://schemas.openxmlformats.org/officeDocument/2006/relationships" name="Pricing Scenarios" sheetId="5" r:id="Reee38eff1b864c57"/>
    <x:sheet xmlns:r="http://schemas.openxmlformats.org/officeDocument/2006/relationships" name="Sensitivity" sheetId="6" r:id="R6ec9a4c7357e4379"/>
    <x:sheet xmlns:r="http://schemas.openxmlformats.org/officeDocument/2006/relationships" name="Vehicle Classes" sheetId="7" r:id="Re89d0a8d38f8488a"/>
    <x:sheet xmlns:r="http://schemas.openxmlformats.org/officeDocument/2006/relationships" name="Tax Rules" sheetId="8" r:id="R7825a149fa05496f"/>
    <x:sheet xmlns:r="http://schemas.openxmlformats.org/officeDocument/2006/relationships" name="Dropdown Helper" sheetId="9" r:id="R02bc2cfe9e04432b"/>
    <x:sheet xmlns:r="http://schemas.openxmlformats.org/officeDocument/2006/relationships" name="Cascade Lists" sheetId="10" r:id="R0a39ee75a572425a"/>
    <x:sheet xmlns:r="http://schemas.openxmlformats.org/officeDocument/2006/relationships" name="Guide" sheetId="11" r:id="R183df236a4d8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€0.000"/>
    <x:numFmt numFmtId="202" formatCode="0.00%"/>
    <x:numFmt numFmtId="203" formatCode="€#,##0"/>
    <x:numFmt numFmtId="204" formatCode="#,##0.00"/>
    <x:numFmt numFmtId="205" formatCode="0.0%"/>
    <x:numFmt numFmtId="206" formatCode="0.00"/>
    <x:numFmt numFmtId="207" formatCode="0.000"/>
  </x:numFmts>
  <x:fonts count="9">
    <x:font>
      <x:sz val="11"/>
      <x:name val="Carlito"/>
    </x:font>
    <x:font>
      <x:b/>
      <x:sz val="16"/>
      <x:color rgb="FFFFFF"/>
      <x:name val="Carlito"/>
    </x:font>
    <x:font>
      <x:sz val="11"/>
      <x:color rgb="111827"/>
      <x:name val="Carlito"/>
    </x:font>
    <x:font>
      <x:b/>
      <x:sz val="11"/>
      <x:color rgb="FFFFFF"/>
      <x:name val="Carlito"/>
    </x:font>
    <x:font>
      <x:b/>
      <x:sz val="11"/>
      <x:color rgb="065F46"/>
      <x:name val="Carlito"/>
    </x:font>
    <x:font>
      <x:b/>
      <x:sz val="11"/>
      <x:color rgb="15803D"/>
      <x:name val="Carlito"/>
    </x:font>
    <x:font>
      <x:sz val="11"/>
      <x:color rgb="1D4ED8"/>
      <x:name val="Carlito"/>
    </x:font>
    <x:font>
      <x:b/>
      <x:sz val="11"/>
      <x:color rgb="111827"/>
      <x:name val="Carlito"/>
    </x:font>
    <x:font>
      <x:b/>
      <x:sz val="11"/>
      <x:color rgb="1D4ED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D1FAE5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E0F2FE"/>
      </x:patternFill>
    </x:fill>
  </x:fills>
  <x:borders count="4">
    <x:border/>
    <x:border/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/>
    <x:xf numFmtId="0" fontId="0" fillId="3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3" xfId="0" applyNumberFormat="1" applyFont="1" applyFill="1" applyBorder="1"/>
    <x:xf numFmtId="0" fontId="2" fillId="7" borderId="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" xfId="0" applyNumberFormat="1" applyFont="1" applyFill="1" applyBorder="1"/>
    <x:xf numFmtId="0" fontId="6" fillId="8" borderId="2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3" xfId="0" applyNumberFormat="1" applyFont="1" applyFill="1" applyBorder="1"/>
    <x:xf numFmtId="0" fontId="6" fillId="8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200" fontId="0" fillId="3" borderId="2" xfId="0" applyNumberFormat="1" applyFont="1" applyFill="1" applyBorder="1" applyAlignment="1">
      <x:alignment wrapText="1"/>
    </x:xf>
    <x:xf numFmtId="200" fontId="0" fillId="3" borderId="3" xfId="0" applyNumberFormat="1" applyFont="1" applyFill="1" applyBorder="1" applyAlignment="1">
      <x:alignment wrapText="1"/>
    </x:xf>
    <x:xf numFmtId="201" fontId="5" fillId="6" borderId="2" xfId="0" applyNumberFormat="1" applyFont="1" applyFill="1" applyBorder="1" applyAlignment="1">
      <x:alignment wrapText="1"/>
    </x:xf>
    <x:xf numFmtId="201" fontId="5" fillId="6" borderId="3" xfId="0" applyNumberFormat="1" applyFont="1" applyFill="1" applyBorder="1" applyAlignment="1">
      <x:alignment wrapText="1"/>
    </x:xf>
    <x:xf numFmtId="202" fontId="5" fillId="6" borderId="2" xfId="0" applyNumberFormat="1" applyFont="1" applyFill="1" applyBorder="1" applyAlignment="1">
      <x:alignment wrapText="1"/>
    </x:xf>
    <x:xf numFmtId="202" fontId="5" fillId="6" borderId="3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7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7" fillId="3" borderId="3" xfId="0" applyNumberFormat="1" applyFont="1" applyFill="1" applyBorder="1" applyAlignment="1">
      <x:alignment horizontal="center" wrapText="1"/>
    </x:xf>
    <x:xf numFmtId="202" fontId="6" fillId="8" borderId="2" xfId="0" applyNumberFormat="1" applyFont="1" applyFill="1" applyBorder="1" applyAlignment="1">
      <x:alignment wrapText="1"/>
    </x:xf>
    <x:xf numFmtId="202" fontId="6" fillId="8" borderId="3" xfId="0" applyNumberFormat="1" applyFont="1" applyFill="1" applyBorder="1" applyAlignment="1">
      <x:alignment wrapText="1"/>
    </x:xf>
    <x:xf numFmtId="203" fontId="6" fillId="8" borderId="2" xfId="0" applyNumberFormat="1" applyFont="1" applyFill="1" applyBorder="1" applyAlignment="1">
      <x:alignment wrapText="1"/>
    </x:xf>
    <x:xf numFmtId="203" fontId="6" fillId="8" borderId="3" xfId="0" applyNumberFormat="1" applyFont="1" applyFill="1" applyBorder="1" applyAlignment="1">
      <x:alignment wrapText="1"/>
    </x:xf>
    <x:xf numFmtId="203" fontId="5" fillId="6" borderId="2" xfId="0" applyNumberFormat="1" applyFont="1" applyFill="1" applyBorder="1" applyAlignment="1">
      <x:alignment wrapText="1"/>
    </x:xf>
    <x:xf numFmtId="203" fontId="5" fillId="6" borderId="3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202" fontId="2" fillId="7" borderId="2" xfId="0" applyNumberFormat="1" applyFont="1" applyFill="1" applyBorder="1" applyAlignment="1">
      <x:alignment wrapText="1"/>
    </x:xf>
    <x:xf numFmtId="202" fontId="2" fillId="7" borderId="3" xfId="0" applyNumberFormat="1" applyFont="1" applyFill="1" applyBorder="1" applyAlignment="1">
      <x:alignment wrapText="1"/>
    </x:xf>
    <x:xf numFmtId="204" fontId="2" fillId="7" borderId="2" xfId="0" applyNumberFormat="1" applyFont="1" applyFill="1" applyBorder="1" applyAlignment="1">
      <x:alignment wrapText="1"/>
    </x:xf>
    <x:xf numFmtId="204" fontId="2" fillId="7" borderId="3" xfId="0" applyNumberFormat="1" applyFont="1" applyFill="1" applyBorder="1" applyAlignment="1">
      <x:alignment wrapText="1"/>
    </x:xf>
    <x:xf numFmtId="204" fontId="6" fillId="8" borderId="2" xfId="0" applyNumberFormat="1" applyFont="1" applyFill="1" applyBorder="1" applyAlignment="1">
      <x:alignment wrapText="1"/>
    </x:xf>
    <x:xf numFmtId="204" fontId="6" fillId="8" borderId="3" xfId="0" applyNumberFormat="1" applyFont="1" applyFill="1" applyBorder="1" applyAlignment="1">
      <x:alignment wrapText="1"/>
    </x:xf>
    <x:xf numFmtId="200" fontId="6" fillId="8" borderId="2" xfId="0" applyNumberFormat="1" applyFont="1" applyFill="1" applyBorder="1" applyAlignment="1">
      <x:alignment wrapText="1"/>
    </x:xf>
    <x:xf numFmtId="200" fontId="6" fillId="8" borderId="3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205" fontId="2" fillId="7" borderId="2" xfId="0" applyNumberFormat="1" applyFont="1" applyFill="1" applyBorder="1" applyAlignment="1">
      <x:alignment wrapText="1"/>
    </x:xf>
    <x:xf numFmtId="205" fontId="2" fillId="7" borderId="3" xfId="0" applyNumberFormat="1" applyFont="1" applyFill="1" applyBorder="1" applyAlignment="1">
      <x:alignment wrapText="1"/>
    </x:xf>
    <x:xf numFmtId="201" fontId="6" fillId="8" borderId="2" xfId="0" applyNumberFormat="1" applyFont="1" applyFill="1" applyBorder="1" applyAlignment="1">
      <x:alignment wrapText="1"/>
    </x:xf>
    <x:xf numFmtId="201" fontId="6" fillId="8" borderId="3" xfId="0" applyNumberFormat="1" applyFont="1" applyFill="1" applyBorder="1" applyAlignment="1">
      <x:alignment wrapText="1"/>
    </x:xf>
    <x:xf numFmtId="202" fontId="4" fillId="5" borderId="2" xfId="0" applyNumberFormat="1" applyFont="1" applyFill="1" applyBorder="1" applyAlignment="1">
      <x:alignment wrapText="1"/>
    </x:xf>
    <x:xf numFmtId="202" fontId="4" fillId="5" borderId="3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1" fontId="3" fillId="4" borderId="2" xfId="0" applyNumberFormat="1" applyFont="1" applyFill="1" applyBorder="1" applyAlignment="1">
      <x:alignment horizontal="center" wrapText="1"/>
    </x:xf>
    <x:xf numFmtId="201" fontId="2" fillId="7" borderId="2" xfId="0" applyNumberFormat="1" applyFont="1" applyFill="1" applyBorder="1" applyAlignment="1">
      <x:alignment wrapText="1"/>
    </x:xf>
    <x:xf numFmtId="201" fontId="3" fillId="4" borderId="3" xfId="0" applyNumberFormat="1" applyFont="1" applyFill="1" applyBorder="1" applyAlignment="1">
      <x:alignment horizontal="center" wrapText="1"/>
    </x:xf>
    <x:xf numFmtId="201" fontId="2" fillId="7" borderId="3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6" fontId="2" fillId="7" borderId="2" xfId="0" applyNumberFormat="1" applyFont="1" applyFill="1" applyBorder="1" applyAlignment="1">
      <x:alignment wrapText="1"/>
    </x:xf>
    <x:xf numFmtId="206" fontId="6" fillId="8" borderId="2" xfId="0" applyNumberFormat="1" applyFont="1" applyFill="1" applyBorder="1" applyAlignment="1">
      <x:alignment wrapText="1"/>
    </x:xf>
    <x:xf numFmtId="206" fontId="2" fillId="7" borderId="3" xfId="0" applyNumberFormat="1" applyFont="1" applyFill="1" applyBorder="1" applyAlignment="1">
      <x:alignment wrapText="1"/>
    </x:xf>
    <x:xf numFmtId="206" fontId="6" fillId="8" borderId="3" xfId="0" applyNumberFormat="1" applyFont="1" applyFill="1" applyBorder="1" applyAlignment="1">
      <x:alignment wrapText="1"/>
    </x:xf>
    <x:xf numFmtId="200" fontId="2" fillId="7" borderId="2" xfId="0" applyNumberFormat="1" applyFont="1" applyFill="1" applyBorder="1" applyAlignment="1">
      <x:alignment wrapText="1"/>
    </x:xf>
    <x:xf numFmtId="200" fontId="2" fillId="7" borderId="3" xfId="0" applyNumberFormat="1" applyFont="1" applyFill="1" applyBorder="1" applyAlignment="1">
      <x:alignment wrapText="1"/>
    </x:xf>
    <x:xf numFmtId="207" fontId="2" fillId="7" borderId="2" xfId="0" applyNumberFormat="1" applyFont="1" applyFill="1" applyBorder="1" applyAlignment="1">
      <x:alignment wrapText="1"/>
    </x:xf>
    <x:xf numFmtId="207" fontId="2" fillId="7" borderId="3" xfId="0" applyNumberFormat="1" applyFont="1" applyFill="1" applyBorder="1" applyAlignment="1">
      <x:alignment wrapText="1"/>
    </x:xf>
    <x:xf numFmtId="203" fontId="2" fillId="7" borderId="2" xfId="0" applyNumberFormat="1" applyFont="1" applyFill="1" applyBorder="1" applyAlignment="1">
      <x:alignment wrapText="1"/>
    </x:xf>
    <x:xf numFmtId="203" fontId="2" fillId="7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71c43688b4e0c" /><Relationship Type="http://schemas.openxmlformats.org/officeDocument/2006/relationships/theme" Target="/xl/theme/theme1.xml" Id="Re5785206f0f64224" /><Relationship Type="http://schemas.openxmlformats.org/officeDocument/2006/relationships/sharedStrings" Target="/xl/sharedStrings.xml" Id="R44b9125eb41f4cd1" /><Relationship Type="http://schemas.openxmlformats.org/officeDocument/2006/relationships/worksheet" Target="/xl/worksheets/sheet1.xml" Id="R5667d33cc1b74612" /><Relationship Type="http://schemas.openxmlformats.org/officeDocument/2006/relationships/worksheet" Target="/xl/worksheets/sheet2.xml" Id="Rd11bc453d7d543cc" /><Relationship Type="http://schemas.openxmlformats.org/officeDocument/2006/relationships/worksheet" Target="/xl/worksheets/sheet3.xml" Id="R1bd5fc54edc944ca" /><Relationship Type="http://schemas.openxmlformats.org/officeDocument/2006/relationships/worksheet" Target="/xl/worksheets/sheet4.xml" Id="R43ceca4697414c1f" /><Relationship Type="http://schemas.openxmlformats.org/officeDocument/2006/relationships/worksheet" Target="/xl/worksheets/sheet5.xml" Id="Reee38eff1b864c57" /><Relationship Type="http://schemas.openxmlformats.org/officeDocument/2006/relationships/worksheet" Target="/xl/worksheets/sheet6.xml" Id="R6ec9a4c7357e4379" /><Relationship Type="http://schemas.openxmlformats.org/officeDocument/2006/relationships/worksheet" Target="/xl/worksheets/sheet7.xml" Id="Re89d0a8d38f8488a" /><Relationship Type="http://schemas.openxmlformats.org/officeDocument/2006/relationships/worksheet" Target="/xl/worksheets/sheet8.xml" Id="R7825a149fa05496f" /><Relationship Type="http://schemas.openxmlformats.org/officeDocument/2006/relationships/worksheet" Target="/xl/worksheets/sheet9.xml" Id="R02bc2cfe9e04432b" /><Relationship Type="http://schemas.openxmlformats.org/officeDocument/2006/relationships/worksheet" Target="/xl/worksheets/sheet10.xml" Id="R0a39ee75a572425a" /><Relationship Type="http://schemas.openxmlformats.org/officeDocument/2006/relationships/worksheet" Target="/xl/worksheets/sheet11.xml" Id="R183df236a4d8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</x:cols>
  <x:sheetData>
    <x:row r="1" ht="76.80000305175781" hidden="0" customHeight="1">
      <x:c r="A1" s="5" t="str">
        <x:v>Transport Break-Even Engine — Start Here</x:v>
      </x:c>
      <x:c r="B1" s="5"/>
      <x:c r="C1" s="5"/>
      <x:c r="D1" s="5"/>
      <x:c r="E1" s="5"/>
      <x:c r="F1" s="5"/>
      <x:c r="G1" s="5"/>
      <x:c r="H1" s="5"/>
    </x:row>
    <x:row r="2" ht="79.19999694824219" hidden="0" customHeight="1">
      <x:c r="A2" s="13" t="str">
        <x:v>Purpose</x:v>
      </x:c>
      <x:c r="B2" s="13" t="str">
        <x:v>Use this workbook in the order below: select jurisdiction, fill operational inputs, review break-even, then price with markup and tax view.</x:v>
      </x:c>
      <x:c r="C2" s="13"/>
      <x:c r="D2" s="13"/>
      <x:c r="E2" s="13"/>
      <x:c r="F2" s="13"/>
      <x:c r="G2" s="13"/>
      <x:c r="H2" s="13"/>
    </x:row>
    <x:row r="3" ht="15" hidden="0" customHeight="1">
      <x:c r="A3" s="132"/>
      <x:c r="B3" s="132"/>
      <x:c r="C3" s="132"/>
      <x:c r="D3" s="132"/>
      <x:c r="E3" s="132"/>
      <x:c r="F3" s="132"/>
      <x:c r="G3" s="132"/>
      <x:c r="H3" s="132"/>
    </x:row>
    <x:row r="4" ht="15" hidden="0" customHeight="1">
      <x:c r="A4" s="22" t="str">
        <x:v>Step</x:v>
      </x:c>
      <x:c r="B4" s="22" t="str">
        <x:v>Sheet</x:v>
      </x:c>
      <x:c r="C4" s="22" t="str">
        <x:v>What you do</x:v>
      </x:c>
      <x:c r="D4" s="22" t="str">
        <x:v>Editable?</x:v>
      </x:c>
      <x:c r="E4" s="22" t="str">
        <x:v>Result</x:v>
      </x:c>
      <x:c r="F4" s="132"/>
      <x:c r="G4" s="132"/>
      <x:c r="H4" s="132"/>
    </x:row>
    <x:row r="5" ht="66" hidden="0" customHeight="1">
      <x:c r="A5" s="29" t="n">
        <x:v>1</x:v>
      </x:c>
      <x:c r="B5" s="29" t="str">
        <x:v>Company &amp; Tax Profile</x:v>
      </x:c>
      <x:c r="C5" s="29" t="str">
        <x:v>Select country/jurisdiction, company type, and business model.</x:v>
      </x:c>
      <x:c r="D5" s="29" t="str">
        <x:v>Yes</x:v>
      </x:c>
      <x:c r="E5" s="29" t="str">
        <x:v>Tax defaults and company profile are prefilled.</x:v>
      </x:c>
      <x:c r="F5" s="132"/>
      <x:c r="G5" s="132"/>
      <x:c r="H5" s="132"/>
    </x:row>
    <x:row r="6" ht="66" hidden="0" customHeight="1">
      <x:c r="A6" s="29" t="n">
        <x:v>2</x:v>
      </x:c>
      <x:c r="B6" s="29" t="str">
        <x:v>Inputs</x:v>
      </x:c>
      <x:c r="C6" s="29" t="str">
        <x:v>Fill daily km, operating days, loaded ratio, costs, driver assumptions and overhead.</x:v>
      </x:c>
      <x:c r="D6" s="29" t="str">
        <x:v>Yes</x:v>
      </x:c>
      <x:c r="E6" s="29" t="str">
        <x:v>Annual km and operating costs are calculated.</x:v>
      </x:c>
      <x:c r="F6" s="132"/>
      <x:c r="G6" s="132"/>
      <x:c r="H6" s="132"/>
    </x:row>
    <x:row r="7" ht="39.599998474121094" hidden="0" customHeight="1">
      <x:c r="A7" s="29" t="n">
        <x:v>3</x:v>
      </x:c>
      <x:c r="B7" s="29" t="str">
        <x:v>Engine</x:v>
      </x:c>
      <x:c r="C7" s="29" t="str">
        <x:v>Read operational break-even and total annual cost.</x:v>
      </x:c>
      <x:c r="D7" s="29" t="str">
        <x:v>No</x:v>
      </x:c>
      <x:c r="E7" s="29" t="str">
        <x:v>Break-even €/loaded km and €/tonne-km.</x:v>
      </x:c>
      <x:c r="F7" s="132"/>
      <x:c r="G7" s="132"/>
      <x:c r="H7" s="132"/>
    </x:row>
    <x:row r="8" ht="39.599998474121094" hidden="0" customHeight="1">
      <x:c r="A8" s="29" t="n">
        <x:v>4</x:v>
      </x:c>
      <x:c r="B8" s="29" t="str">
        <x:v>Pricing Scenarios</x:v>
      </x:c>
      <x:c r="C8" s="29" t="str">
        <x:v>Choose markup over break-even.</x:v>
      </x:c>
      <x:c r="D8" s="29" t="str">
        <x:v>Yes</x:v>
      </x:c>
      <x:c r="E8" s="29" t="str">
        <x:v>Customer rate, VAT invoice rate, EBIT and after-tax margin.</x:v>
      </x:c>
      <x:c r="F8" s="132"/>
      <x:c r="G8" s="132"/>
      <x:c r="H8" s="132"/>
    </x:row>
    <x:row r="9" ht="52.79999923706055" hidden="0" customHeight="1">
      <x:c r="A9" s="29" t="n">
        <x:v>5</x:v>
      </x:c>
      <x:c r="B9" s="29" t="str">
        <x:v>Sensitivity</x:v>
      </x:c>
      <x:c r="C9" s="29" t="str">
        <x:v>Review utilisation, rate, payload and vehicle-class sensitivity.</x:v>
      </x:c>
      <x:c r="D9" s="29" t="str">
        <x:v>Mostly no</x:v>
      </x:c>
      <x:c r="E9" s="29" t="str">
        <x:v>Shows risk from low load factor and wrong truck class.</x:v>
      </x:c>
      <x:c r="F9" s="132"/>
      <x:c r="G9" s="132"/>
      <x:c r="H9" s="132"/>
    </x:row>
    <x:row r="10" ht="52.79999923706055" hidden="0" customHeight="1">
      <x:c r="A10" s="29" t="n">
        <x:v>6</x:v>
      </x:c>
      <x:c r="B10" s="29" t="str">
        <x:v>Vehicle Classes / Tax Rules</x:v>
      </x:c>
      <x:c r="C10" s="29" t="str">
        <x:v>Update defaults only when you have better fleet or tax data.</x:v>
      </x:c>
      <x:c r="D10" s="29" t="str">
        <x:v>Advanced</x:v>
      </x:c>
      <x:c r="E10" s="29" t="str">
        <x:v>Better assumptions for future scenarios.</x:v>
      </x:c>
      <x:c r="F10" s="132"/>
      <x:c r="G10" s="132"/>
      <x:c r="H10" s="132"/>
    </x:row>
    <x:row r="11" ht="15" hidden="0" customHeight="1">
      <x:c r="A11" s="132"/>
      <x:c r="B11" s="132"/>
      <x:c r="C11" s="132"/>
      <x:c r="D11" s="132"/>
      <x:c r="E11" s="132"/>
      <x:c r="F11" s="132"/>
      <x:c r="G11" s="132"/>
      <x:c r="H11" s="132"/>
    </x:row>
    <x:row r="12" ht="15" hidden="0" customHeight="1">
      <x:c r="A12" s="35" t="str">
        <x:v>Current model summary</x:v>
      </x:c>
      <x:c r="B12" s="35"/>
      <x:c r="C12" s="35"/>
      <x:c r="D12" s="35"/>
      <x:c r="E12" s="35"/>
      <x:c r="F12" s="35"/>
      <x:c r="G12" s="35"/>
      <x:c r="H12" s="35"/>
    </x:row>
    <x:row r="13" ht="15" hidden="0" customHeight="1">
      <x:c r="A13" s="22" t="str">
        <x:v>Profile</x:v>
      </x:c>
      <x:c r="B13" s="22" t="str">
        <x:v>Country</x:v>
      </x:c>
      <x:c r="C13" s="22" t="str">
        <x:v>Annual km</x:v>
      </x:c>
      <x:c r="D13" s="22" t="str">
        <x:v>Loaded km</x:v>
      </x:c>
      <x:c r="E13" s="22" t="str">
        <x:v>Break-even €/loaded km</x:v>
      </x:c>
      <x:c r="F13" s="22" t="str">
        <x:v>Selected rate excl. VAT</x:v>
      </x:c>
      <x:c r="G13" s="22" t="str">
        <x:v>Invoice rate incl. VAT</x:v>
      </x:c>
      <x:c r="H13" s="22" t="str">
        <x:v>After-tax margin</x:v>
      </x:c>
    </x:row>
    <x:row r="14" ht="15" hidden="0" customHeight="1">
      <x:c r="A14" s="29" t="str">
        <x:v>Long Distance 40t</x:v>
      </x:c>
      <x:c r="B14" s="29" t="str">
        <x:f>'Company &amp; Tax Profile'!$B$4</x:f>
        <x:v>Romania</x:v>
      </x:c>
      <x:c r="C14" s="66" t="n">
        <x:f>Engine!$C$3</x:f>
        <x:v>113100.00000000001</x:v>
      </x:c>
      <x:c r="D14" s="66" t="n">
        <x:f>Engine!$C$31</x:f>
        <x:v>96474.30000000002</x:v>
      </x:c>
      <x:c r="E14" s="68" t="n">
        <x:f>Engine!$C$62</x:f>
        <x:v>1.480895320821452</x:v>
      </x:c>
      <x:c r="F14" s="68" t="n">
        <x:f>'Pricing Scenarios'!$C$18</x:f>
        <x:v>1.6660072359241334</x:v>
      </x:c>
      <x:c r="G14" s="68" t="n">
        <x:f>'Company &amp; Tax Profile'!$C$36</x:f>
        <x:v>2.015868755468201</x:v>
      </x:c>
      <x:c r="H14" s="70" t="n">
        <x:f>'Pricing Scenarios'!$C$45</x:f>
        <x:v>0.09333333333333325</x:v>
      </x:c>
    </x:row>
    <x:row r="15" ht="15" hidden="0" customHeight="1">
      <x:c r="A15" s="29" t="str">
        <x:v>Regional 40t</x:v>
      </x:c>
      <x:c r="B15" s="29" t="str">
        <x:f>'Company &amp; Tax Profile'!$B$4</x:f>
        <x:v>Romania</x:v>
      </x:c>
      <x:c r="C15" s="66" t="n">
        <x:f>Engine!$D$3</x:f>
        <x:v>98000</x:v>
      </x:c>
      <x:c r="D15" s="66" t="n">
        <x:f>Engine!$D$31</x:f>
        <x:v>78890</x:v>
      </x:c>
      <x:c r="E15" s="68" t="n">
        <x:f>Engine!$D$62</x:f>
        <x:v>1.6075162029534795</x:v>
      </x:c>
      <x:c r="F15" s="68" t="n">
        <x:f>'Pricing Scenarios'!$D$18</x:f>
        <x:v>1.8084557283226645</x:v>
      </x:c>
      <x:c r="G15" s="68" t="n">
        <x:f>'Company &amp; Tax Profile'!$D$36</x:f>
        <x:v>2.188231431270424</x:v>
      </x:c>
      <x:c r="H15" s="70" t="n">
        <x:f>'Pricing Scenarios'!$D$45</x:f>
        <x:v>0.09333333333333334</x:v>
      </x:c>
    </x:row>
    <x:row r="16" ht="15" hidden="0" customHeight="1">
      <x:c r="A16" s="132"/>
      <x:c r="B16" s="132"/>
      <x:c r="C16" s="132"/>
      <x:c r="D16" s="132"/>
      <x:c r="E16" s="132"/>
      <x:c r="F16" s="132"/>
      <x:c r="G16" s="132"/>
      <x:c r="H16" s="132"/>
    </x:row>
    <x:row r="17" ht="15" hidden="0" customHeight="1">
      <x:c r="A17" s="35" t="str">
        <x:v>Colour legend</x:v>
      </x:c>
      <x:c r="B17" s="35"/>
      <x:c r="C17" s="132"/>
      <x:c r="D17" s="132"/>
      <x:c r="E17" s="132"/>
      <x:c r="F17" s="132"/>
      <x:c r="G17" s="132"/>
      <x:c r="H17" s="132"/>
    </x:row>
    <x:row r="18" ht="15" hidden="0" customHeight="1">
      <x:c r="A18" s="47" t="str">
        <x:v>Yellow</x:v>
      </x:c>
      <x:c r="B18" s="13" t="str">
        <x:v>Editable input</x:v>
      </x:c>
      <x:c r="C18" s="132"/>
      <x:c r="D18" s="132"/>
      <x:c r="E18" s="132"/>
      <x:c r="F18" s="132"/>
      <x:c r="G18" s="132"/>
      <x:c r="H18" s="132"/>
    </x:row>
    <x:row r="19" ht="15" hidden="0" customHeight="1">
      <x:c r="A19" s="55" t="str">
        <x:v>Light blue</x:v>
      </x:c>
      <x:c r="B19" s="13" t="str">
        <x:v>Formula / linked value</x:v>
      </x:c>
      <x:c r="C19" s="132"/>
      <x:c r="D19" s="132"/>
      <x:c r="E19" s="132"/>
      <x:c r="F19" s="132"/>
      <x:c r="G19" s="132"/>
      <x:c r="H19" s="132"/>
    </x:row>
    <x:row r="20" ht="15" hidden="0" customHeight="1">
      <x:c r="A20" s="41" t="str">
        <x:v>Light green</x:v>
      </x:c>
      <x:c r="B20" s="13" t="str">
        <x:v>Key output</x:v>
      </x:c>
      <x:c r="C20" s="132"/>
      <x:c r="D20" s="132"/>
      <x:c r="E20" s="132"/>
      <x:c r="F20" s="132"/>
      <x:c r="G20" s="132"/>
      <x:c r="H20" s="132"/>
    </x:row>
    <x:row r="21" ht="15" hidden="0" customHeight="1">
      <x:c r="A21" s="13" t="str">
        <x:v>Grey</x:v>
      </x:c>
      <x:c r="B21" s="13" t="str">
        <x:v>Instruction / modelling note</x:v>
      </x:c>
      <x:c r="C21" s="132"/>
      <x:c r="D21" s="132"/>
      <x:c r="E21" s="132"/>
      <x:c r="F21" s="132"/>
      <x:c r="G21" s="132"/>
      <x:c r="H21" s="132"/>
    </x:row>
    <x:row r="22" ht="15" hidden="0" customHeight="1">
      <x:c r="A22" s="132"/>
      <x:c r="B22" s="132"/>
      <x:c r="C22" s="132"/>
      <x:c r="D22" s="132"/>
      <x:c r="E22" s="132"/>
      <x:c r="F22" s="132"/>
      <x:c r="G22" s="132"/>
      <x:c r="H22" s="132"/>
    </x:row>
    <x:row r="23" ht="52.79999923706055" hidden="0" customHeight="1">
      <x:c r="A23" s="13" t="str">
        <x:v>Important modelling rule</x:v>
      </x:c>
      <x:c r="B23" s="13" t="str">
        <x:v>VAT is not profit. It is shown only as invoice/cash value. Business profitability uses customer rate excluding VAT.</x:v>
      </x:c>
      <x:c r="C23" s="13"/>
      <x:c r="D23" s="13"/>
      <x:c r="E23" s="13"/>
      <x:c r="F23" s="13"/>
      <x:c r="G23" s="13"/>
      <x:c r="H23" s="13"/>
    </x:row>
    <x:row r="24" ht="52.79999923706055" hidden="0" customHeight="1">
      <x:c r="A24" s="13" t="str">
        <x:v>Important modelling rule</x:v>
      </x:c>
      <x:c r="B24" s="13" t="str">
        <x:v>Customer rate is not an input in Inputs. It is calculated after break-even in Pricing Scenarios.</x:v>
      </x:c>
      <x:c r="C24" s="13"/>
      <x:c r="D24" s="13"/>
      <x:c r="E24" s="13"/>
      <x:c r="F24" s="13"/>
      <x:c r="G24" s="13"/>
      <x:c r="H24" s="1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8" hidden="0" customWidth="1"/>
    <x:col min="5" max="5" width="72" hidden="0" customWidth="1"/>
  </x:cols>
  <x:sheetData>
    <x:row r="1" ht="38.400001525878906" hidden="0" customHeight="1">
      <x:c r="A1" s="5" t="str">
        <x:v>Company &amp; Tax Profile — Cascading Jurisdiction Logic</x:v>
      </x:c>
      <x:c r="B1" s="5"/>
      <x:c r="C1" s="5"/>
      <x:c r="D1" s="5"/>
      <x:c r="E1" s="5"/>
    </x:row>
    <x:row r="2" ht="15" hidden="0" customHeight="1">
      <x:c r="A2" s="132"/>
      <x:c r="B2" s="132"/>
      <x:c r="C2" s="132"/>
      <x:c r="D2" s="132"/>
      <x:c r="E2" s="132"/>
    </x:row>
    <x:row r="3" ht="15" hidden="0" customHeight="1">
      <x:c r="A3" s="22" t="str">
        <x:v>Cascade selection</x:v>
      </x:c>
      <x:c r="B3" s="22" t="str">
        <x:v>Selected value</x:v>
      </x:c>
      <x:c r="C3" s="22" t="str">
        <x:v>Status / formula</x:v>
      </x:c>
      <x:c r="D3" s="22" t="str">
        <x:v>Unit</x:v>
      </x:c>
      <x:c r="E3" s="22" t="str">
        <x:v>Modelling note</x:v>
      </x:c>
    </x:row>
    <x:row r="4" ht="26.399999618530273" hidden="0" customHeight="1">
      <x:c r="A4" s="132" t="str">
        <x:v>Company country / jurisdiction</x:v>
      </x:c>
      <x:c r="B4" s="47" t="str">
        <x:v>Romania</x:v>
      </x:c>
      <x:c r="C4" s="132" t="str">
        <x:v>Master field</x:v>
      </x:c>
      <x:c r="D4" s="132"/>
      <x:c r="E4" s="13" t="str">
        <x:v>Drives company type, business model, VAT, corporate tax, payroll contribution and vehicle-tax defaults.</x:v>
      </x:c>
    </x:row>
    <x:row r="5" ht="26.399999618530273" hidden="0" customHeight="1">
      <x:c r="A5" s="132" t="str">
        <x:v>Company type</x:v>
      </x:c>
      <x:c r="B5" s="47" t="str">
        <x:f>IFERROR(INDEX('Tax Rules'!$L$2:$L$9,MATCH($B$4,'Tax Rules'!$A$2:$A$9,0)),"")</x:f>
        <x:v>SRL</x:v>
      </x:c>
      <x:c r="C5" s="132" t="str">
        <x:v>Depends on country</x:v>
      </x:c>
      <x:c r="D5" s="132"/>
      <x:c r="E5" s="13" t="str">
        <x:v>Dropdown is controlled by country/jurisdiction. Formula uses INDEX/MATCH for Excel compatibility.</x:v>
      </x:c>
    </x:row>
    <x:row r="6" ht="26.399999618530273" hidden="0" customHeight="1">
      <x:c r="A6" s="132" t="str">
        <x:v>Business model</x:v>
      </x:c>
      <x:c r="B6" s="47" t="str">
        <x:f>IFERROR(INDEX('Tax Rules'!$M$2:$M$9,MATCH($B$4,'Tax Rules'!$A$2:$A$9,0)),"")</x:f>
        <x:v>Fleet operator</x:v>
      </x:c>
      <x:c r="C6" s="132" t="str">
        <x:v>Depends on country + company type</x:v>
      </x:c>
      <x:c r="D6" s="132"/>
      <x:c r="E6" s="13" t="str">
        <x:v>Dropdown uses approved operating models. Cascade validity checks country + company type + business model.</x:v>
      </x:c>
    </x:row>
    <x:row r="7" ht="26.399999618530273" hidden="0" customHeight="1">
      <x:c r="A7" s="132" t="str">
        <x:v>VAT registered</x:v>
      </x:c>
      <x:c r="B7" s="55" t="str">
        <x:f>IFERROR(INDEX('Tax Rules'!$C$2:$C$9,MATCH($B$4,'Tax Rules'!$A$2:$A$9,0)),"Yes")</x:f>
        <x:v>Yes</x:v>
      </x:c>
      <x:c r="C7" s="132" t="str">
        <x:v>Pre-filled from country default</x:v>
      </x:c>
      <x:c r="D7" s="132" t="str">
        <x:v>Yes/No</x:v>
      </x:c>
      <x:c r="E7" s="13" t="str">
        <x:v>VAT does not create profit. It is shown as invoice/cash value only.</x:v>
      </x:c>
    </x:row>
    <x:row r="8" ht="15" hidden="0" customHeight="1">
      <x:c r="A8" s="132" t="str">
        <x:v>Cascade validity</x:v>
      </x:c>
      <x:c r="B8" s="41" t="str">
        <x:f>IF(AND($B$4&lt;&gt;"",$B$5&lt;&gt;"",$B$6&lt;&gt;"",COUNTIFS('Cascade Lists'!$A:$A,$B$4,'Cascade Lists'!$B:$B,$B$5,'Cascade Lists'!$C:$C,$B$6)&gt;0),"Valid cascade","Reselect company type / business model")</x:f>
        <x:v>Valid cascade</x:v>
      </x:c>
      <x:c r="C8" s="132" t="str">
        <x:v>Check</x:v>
      </x:c>
      <x:c r="D8" s="132"/>
      <x:c r="E8" s="13" t="str">
        <x:v>If invalid, reselect company type/business model after changing country.</x:v>
      </x:c>
    </x:row>
    <x:row r="9" ht="15" hidden="0" customHeight="1">
      <x:c r="A9" s="132" t="str">
        <x:v>Standard VAT rate</x:v>
      </x:c>
      <x:c r="B9" s="80" t="n">
        <x:f>IFERROR(INDEX('Tax Rules'!$D$2:$D$9,MATCH($B$4,'Tax Rules'!$A$2:$A$9,0)),0)</x:f>
        <x:v>0.21</x:v>
      </x:c>
      <x:c r="C9" s="132" t="str">
        <x:v>Pre-filled</x:v>
      </x:c>
      <x:c r="D9" s="132" t="str">
        <x:v>%</x:v>
      </x:c>
      <x:c r="E9" s="13" t="str">
        <x:v>Standard VAT rate used for customer invoice amount.</x:v>
      </x:c>
    </x:row>
    <x:row r="10" ht="15" hidden="0" customHeight="1">
      <x:c r="A10" s="132" t="str">
        <x:v>Corporate / business income tax rate</x:v>
      </x:c>
      <x:c r="B10" s="80" t="n">
        <x:f>IFERROR(INDEX('Tax Rules'!$E$2:$E$9,MATCH($B$4,'Tax Rules'!$A$2:$A$9,0)),0)</x:f>
        <x:v>0.16</x:v>
      </x:c>
      <x:c r="C10" s="132" t="str">
        <x:v>Pre-filled</x:v>
      </x:c>
      <x:c r="D10" s="132" t="str">
        <x:v>%</x:v>
      </x:c>
      <x:c r="E10" s="13" t="str">
        <x:v>Standard corporate rate or simplified business-tax proxy.</x:v>
      </x:c>
    </x:row>
    <x:row r="11" ht="15" hidden="0" customHeight="1">
      <x:c r="A11" s="132" t="str">
        <x:v>Local / trade tax rate</x:v>
      </x:c>
      <x:c r="B11" s="80" t="n">
        <x:f>IFERROR(INDEX('Tax Rules'!$F$2:$F$9,MATCH($B$4,'Tax Rules'!$A$2:$A$9,0)),0)</x:f>
        <x:v>0</x:v>
      </x:c>
      <x:c r="C11" s="132" t="str">
        <x:v>Pre-filled</x:v>
      </x:c>
      <x:c r="D11" s="132" t="str">
        <x:v>%</x:v>
      </x:c>
      <x:c r="E11" s="13" t="str">
        <x:v>Municipal/local trade tax if applicable. Germany and Hungary are modelled with proxies.</x:v>
      </x:c>
    </x:row>
    <x:row r="12" ht="15" hidden="0" customHeight="1">
      <x:c r="A12" s="132" t="str">
        <x:v>Effective business tax rate</x:v>
      </x:c>
      <x:c r="B12" s="80" t="n">
        <x:f>MIN(MAX($B$10+$B$11,0),1)</x:f>
        <x:v>0.16</x:v>
      </x:c>
      <x:c r="C12" s="132" t="str">
        <x:v>Formula</x:v>
      </x:c>
      <x:c r="D12" s="132" t="str">
        <x:v>%</x:v>
      </x:c>
      <x:c r="E12" s="13" t="str">
        <x:v>Corporate/business tax + local/trade tax, capped between 0% and 100%.</x:v>
      </x:c>
    </x:row>
    <x:row r="13" ht="15" hidden="0" customHeight="1">
      <x:c r="A13" s="132" t="str">
        <x:v>Target after-tax profit margin</x:v>
      </x:c>
      <x:c r="B13" s="80" t="n">
        <x:f>IFERROR(INDEX('Tax Rules'!$K$2:$K$9,MATCH($B$4,'Tax Rules'!$A$2:$A$9,0)),0.1)</x:f>
        <x:v>0.1</x:v>
      </x:c>
      <x:c r="C13" s="132" t="str">
        <x:v>Pre-filled default</x:v>
      </x:c>
      <x:c r="D13" s="132" t="str">
        <x:v>%</x:v>
      </x:c>
      <x:c r="E13" s="13" t="str">
        <x:v>Used to calculate required customer rate for target after-tax margin.</x:v>
      </x:c>
    </x:row>
    <x:row r="14" ht="15" hidden="0" customHeight="1">
      <x:c r="A14" s="132" t="str">
        <x:v>Employer payroll contribution rate</x:v>
      </x:c>
      <x:c r="B14" s="80" t="n">
        <x:f>IFERROR(INDEX('Tax Rules'!$H$2:$H$9,MATCH($B$4,'Tax Rules'!$A$2:$A$9,0)),0)</x:f>
        <x:v>0.0225</x:v>
      </x:c>
      <x:c r="C14" s="132" t="str">
        <x:v>Pre-filled</x:v>
      </x:c>
      <x:c r="D14" s="132" t="str">
        <x:v>% of gross salary</x:v>
      </x:c>
      <x:c r="E14" s="13" t="str">
        <x:v>Used by the Inputs sheet as employer tax rate on salary.</x:v>
      </x:c>
    </x:row>
    <x:row r="15" ht="15" hidden="0" customHeight="1">
      <x:c r="A15" s="132" t="str">
        <x:v>Employee contribution rate</x:v>
      </x:c>
      <x:c r="B15" s="80" t="n">
        <x:f>IFERROR(INDEX('Tax Rules'!$I$2:$I$9,MATCH($B$4,'Tax Rules'!$A$2:$A$9,0)),0)</x:f>
        <x:v>0.35</x:v>
      </x:c>
      <x:c r="C15" s="132" t="str">
        <x:v>Informational</x:v>
      </x:c>
      <x:c r="D15" s="132" t="str">
        <x:v>% of gross salary</x:v>
      </x:c>
      <x:c r="E15" s="13" t="str">
        <x:v>Shown for context only; not charged again if salary inputs are gross salary.</x:v>
      </x:c>
    </x:row>
    <x:row r="16" ht="15" hidden="0" customHeight="1">
      <x:c r="A16" s="132" t="str">
        <x:v>Default vehicle tax / truck / year</x:v>
      </x:c>
      <x:c r="B16" s="82" t="n">
        <x:f>IFERROR(INDEX('Tax Rules'!$J$2:$J$9,MATCH($B$4,'Tax Rules'!$A$2:$A$9,0)),0)</x:f>
        <x:v>500</x:v>
      </x:c>
      <x:c r="C16" s="132" t="str">
        <x:v>Pre-filled</x:v>
      </x:c>
      <x:c r="D16" s="132" t="str">
        <x:v>EUR/year</x:v>
      </x:c>
      <x:c r="E16" s="13" t="str">
        <x:v>Indicative default. Replace with vehicle-specific road/vehicle tax where available.</x:v>
      </x:c>
    </x:row>
    <x:row r="17" ht="15" hidden="0" customHeight="1">
      <x:c r="A17" s="132" t="str">
        <x:v>Currency</x:v>
      </x:c>
      <x:c r="B17" s="55" t="str">
        <x:f>IFERROR(INDEX('Tax Rules'!$B$2:$B$9,MATCH($B$4,'Tax Rules'!$A$2:$A$9,0)),"EUR")</x:f>
        <x:v>RON/EUR</x:v>
      </x:c>
      <x:c r="C17" s="132" t="str">
        <x:v>Pre-filled</x:v>
      </x:c>
      <x:c r="D17" s="132"/>
      <x:c r="E17" s="13" t="str">
        <x:v>Workbook remains in EUR; non-EUR jurisdictions need FX consistency.</x:v>
      </x:c>
    </x:row>
    <x:row r="18" ht="15" hidden="0" customHeight="1">
      <x:c r="A18" s="132" t="str">
        <x:v>Tax-source as-of</x:v>
      </x:c>
      <x:c r="B18" s="55" t="str">
        <x:f>IFERROR(INDEX('Tax Rules'!$R$2:$R$9,MATCH($B$4,'Tax Rules'!$A$2:$A$9,0)),"")</x:f>
        <x:v>2026-05</x:v>
      </x:c>
      <x:c r="C18" s="132" t="str">
        <x:v>Pre-filled</x:v>
      </x:c>
      <x:c r="D18" s="132"/>
      <x:c r="E18" s="13" t="str">
        <x:v>Date of source-data refresh.</x:v>
      </x:c>
    </x:row>
    <x:row r="19" ht="105.5999984741211" hidden="0" customHeight="1">
      <x:c r="A19" s="132" t="str">
        <x:v>Country rule note</x:v>
      </x:c>
      <x:c r="B19" s="55" t="str">
        <x:f>IFERROR(INDEX('Tax Rules'!$N$2:$N$9,MATCH($B$4,'Tax Rules'!$A$2:$A$9,0)),"")</x:f>
        <x:v>Standard CIT used for SRL/SA. Micro-company turnover tax regimes and special working-condition contributions are not modelled by default. VAT standard rate increased to 21% from 1 August 2025.</x:v>
      </x:c>
      <x:c r="C19" s="132" t="str">
        <x:v>Pre-filled</x:v>
      </x:c>
      <x:c r="D19" s="132"/>
      <x:c r="E19" s="13" t="str">
        <x:v>Country-specific limitations of the simplified model.</x:v>
      </x:c>
    </x:row>
    <x:row r="20" ht="15" hidden="0" customHeight="1">
      <x:c r="A20" s="132"/>
      <x:c r="B20" s="132"/>
      <x:c r="C20" s="132"/>
      <x:c r="D20" s="132"/>
      <x:c r="E20" s="13"/>
    </x:row>
    <x:row r="21" ht="15" hidden="0" customHeight="1">
      <x:c r="A21" s="132"/>
      <x:c r="B21" s="132"/>
      <x:c r="C21" s="132"/>
      <x:c r="D21" s="132"/>
      <x:c r="E21" s="13"/>
    </x:row>
    <x:row r="22" ht="15" hidden="0" customHeight="1">
      <x:c r="A22" s="22" t="str">
        <x:v>Tax values pushed into pricing engine</x:v>
      </x:c>
      <x:c r="B22" s="22"/>
      <x:c r="C22" s="22" t="str">
        <x:v>Long distance 40t</x:v>
      </x:c>
      <x:c r="D22" s="22" t="str">
        <x:v>Regional 40t</x:v>
      </x:c>
      <x:c r="E22" s="77" t="str">
        <x:v>Source</x:v>
      </x:c>
    </x:row>
    <x:row r="23" ht="15" hidden="0" customHeight="1">
      <x:c r="A23" s="132" t="str">
        <x:v>VAT registered</x:v>
      </x:c>
      <x:c r="B23" s="132"/>
      <x:c r="C23" s="55" t="str">
        <x:f>$B$7</x:f>
        <x:v>Yes</x:v>
      </x:c>
      <x:c r="D23" s="55" t="str">
        <x:f>$B$7</x:f>
        <x:v>Yes</x:v>
      </x:c>
      <x:c r="E23" s="13" t="str">
        <x:v>From cascade selection</x:v>
      </x:c>
    </x:row>
    <x:row r="24" ht="15" hidden="0" customHeight="1">
      <x:c r="A24" s="132" t="str">
        <x:v>Standard VAT rate</x:v>
      </x:c>
      <x:c r="B24" s="132"/>
      <x:c r="C24" s="80" t="n">
        <x:f>$B$9</x:f>
        <x:v>0.21</x:v>
      </x:c>
      <x:c r="D24" s="80" t="n">
        <x:f>$B$9</x:f>
        <x:v>0.21</x:v>
      </x:c>
      <x:c r="E24" s="13"/>
    </x:row>
    <x:row r="25" ht="15" hidden="0" customHeight="1">
      <x:c r="A25" s="132" t="str">
        <x:v>Corporate / business income tax rate</x:v>
      </x:c>
      <x:c r="B25" s="132"/>
      <x:c r="C25" s="80" t="n">
        <x:f>$B$10</x:f>
        <x:v>0.16</x:v>
      </x:c>
      <x:c r="D25" s="80" t="n">
        <x:f>$B$10</x:f>
        <x:v>0.16</x:v>
      </x:c>
      <x:c r="E25" s="13" t="str">
        <x:v>From cascade selection</x:v>
      </x:c>
    </x:row>
    <x:row r="26" ht="15" hidden="0" customHeight="1">
      <x:c r="A26" s="132" t="str">
        <x:v>Local / trade tax rate</x:v>
      </x:c>
      <x:c r="B26" s="132"/>
      <x:c r="C26" s="80" t="n">
        <x:f>$B$11</x:f>
        <x:v>0</x:v>
      </x:c>
      <x:c r="D26" s="80" t="n">
        <x:f>$B$11</x:f>
        <x:v>0</x:v>
      </x:c>
      <x:c r="E26" s="13" t="str">
        <x:v>From cascade selection</x:v>
      </x:c>
    </x:row>
    <x:row r="27" ht="15" hidden="0" customHeight="1">
      <x:c r="A27" s="132" t="str">
        <x:v>Effective business tax rate</x:v>
      </x:c>
      <x:c r="B27" s="132"/>
      <x:c r="C27" s="80" t="n">
        <x:f>$B$12</x:f>
        <x:v>0.16</x:v>
      </x:c>
      <x:c r="D27" s="80" t="n">
        <x:f>$B$12</x:f>
        <x:v>0.16</x:v>
      </x:c>
      <x:c r="E27" s="13" t="str">
        <x:v>Formula: corporate + local/trade tax</x:v>
      </x:c>
    </x:row>
    <x:row r="28" ht="15" hidden="0" customHeight="1">
      <x:c r="A28" s="132" t="str">
        <x:v>Target after-tax profit margin</x:v>
      </x:c>
      <x:c r="B28" s="132"/>
      <x:c r="C28" s="80" t="n">
        <x:f>$B$13</x:f>
        <x:v>0.1</x:v>
      </x:c>
      <x:c r="D28" s="80" t="n">
        <x:f>$B$13</x:f>
        <x:v>0.1</x:v>
      </x:c>
      <x:c r="E28" s="13" t="str">
        <x:v>From cascade selection</x:v>
      </x:c>
    </x:row>
    <x:row r="29" ht="15" hidden="0" customHeight="1">
      <x:c r="A29" s="132" t="str">
        <x:v>Number of trucks</x:v>
      </x:c>
      <x:c r="B29" s="132"/>
      <x:c r="C29" s="47" t="n">
        <x:v>1</x:v>
      </x:c>
      <x:c r="D29" s="47" t="n">
        <x:v>1</x:v>
      </x:c>
      <x:c r="E29" s="13" t="str">
        <x:v>Manual profile-level assumption</x:v>
      </x:c>
    </x:row>
    <x:row r="30" ht="15" hidden="0" customHeight="1">
      <x:c r="A30" s="132" t="str">
        <x:v>Drivers per truck</x:v>
      </x:c>
      <x:c r="B30" s="132"/>
      <x:c r="C30" s="55" t="n">
        <x:f>Inputs!C23</x:f>
        <x:v>1.064</x:v>
      </x:c>
      <x:c r="D30" s="55" t="n">
        <x:f>Inputs!D23</x:f>
        <x:v>1.085</x:v>
      </x:c>
      <x:c r="E30" s="13" t="str">
        <x:v>Linked from Inputs</x:v>
      </x:c>
    </x:row>
    <x:row r="31" ht="15" hidden="0" customHeight="1">
      <x:c r="A31" s="132" t="str">
        <x:v>Total drivers</x:v>
      </x:c>
      <x:c r="B31" s="132"/>
      <x:c r="C31" s="55" t="n">
        <x:f>C29*C30</x:f>
        <x:v>1.064</x:v>
      </x:c>
      <x:c r="D31" s="55" t="n">
        <x:f>D29*D30</x:f>
        <x:v>1.085</x:v>
      </x:c>
      <x:c r="E31" s="13" t="str">
        <x:v>Formula</x:v>
      </x:c>
    </x:row>
    <x:row r="32" ht="15" hidden="0" customHeight="1">
      <x:c r="A32" s="132" t="str">
        <x:v>Employer contribution profile</x:v>
      </x:c>
      <x:c r="B32" s="132"/>
      <x:c r="C32" s="55" t="n">
        <x:f>$B$14</x:f>
        <x:v>0.0225</x:v>
      </x:c>
      <x:c r="D32" s="55" t="n">
        <x:f>$B$14</x:f>
        <x:v>0.0225</x:v>
      </x:c>
      <x:c r="E32" s="13" t="str">
        <x:v>From country payroll rule</x:v>
      </x:c>
    </x:row>
    <x:row r="33" ht="15" hidden="0" customHeight="1">
      <x:c r="A33" s="132" t="str">
        <x:v>Vehicle tax annual</x:v>
      </x:c>
      <x:c r="B33" s="132"/>
      <x:c r="C33" s="55" t="n">
        <x:f>$B$16</x:f>
        <x:v>500</x:v>
      </x:c>
      <x:c r="D33" s="55" t="n">
        <x:f>$B$16</x:f>
        <x:v>500</x:v>
      </x:c>
      <x:c r="E33" s="13" t="str">
        <x:v>From country vehicle-tax default</x:v>
      </x:c>
    </x:row>
    <x:row r="34" ht="15" hidden="0" customHeight="1">
      <x:c r="A34" s="132" t="str">
        <x:v>Business tax treatment note</x:v>
      </x:c>
      <x:c r="B34" s="132"/>
      <x:c r="C34" s="55" t="str">
        <x:v>Tax positive EBIT only</x:v>
      </x:c>
      <x:c r="D34" s="55" t="str">
        <x:v>Tax positive EBIT only</x:v>
      </x:c>
      <x:c r="E34" s="13" t="str">
        <x:v>Model simplification</x:v>
      </x:c>
    </x:row>
    <x:row r="35" ht="15" hidden="0" customHeight="1">
      <x:c r="A35" s="132" t="str">
        <x:v>Selected customer rate excl. VAT</x:v>
      </x:c>
      <x:c r="B35" s="132" t="str">
        <x:v>EUR/loaded km</x:v>
      </x:c>
      <x:c r="C35" s="68" t="n">
        <x:f>'Pricing Scenarios'!C18</x:f>
        <x:v>1.6660072359241334</x:v>
      </x:c>
      <x:c r="D35" s="68" t="n">
        <x:f>'Pricing Scenarios'!D18</x:f>
        <x:v>1.8084557283226645</x:v>
      </x:c>
      <x:c r="E35" s="13" t="str">
        <x:v>From Pricing Scenarios selected markup</x:v>
      </x:c>
    </x:row>
    <x:row r="36" ht="15" hidden="0" customHeight="1">
      <x:c r="A36" s="132" t="str">
        <x:v>Customer invoice rate incl. VAT</x:v>
      </x:c>
      <x:c r="B36" s="132" t="str">
        <x:v>EUR/loaded km</x:v>
      </x:c>
      <x:c r="C36" s="68" t="n">
        <x:f>IF(C23="Yes",C35*(1+C24),C35)</x:f>
        <x:v>2.015868755468201</x:v>
      </x:c>
      <x:c r="D36" s="68" t="n">
        <x:f>IF(D23="Yes",D35*(1+D24),D35)</x:f>
        <x:v>2.188231431270424</x:v>
      </x:c>
      <x:c r="E36" s="13" t="str">
        <x:v>Formula: excl. VAT × (1 + VAT) if VAT registered</x:v>
      </x:c>
    </x:row>
    <x:row r="37" ht="15" hidden="0" customHeight="1">
      <x:c r="A37" s="132" t="str">
        <x:v>Loaded km / year</x:v>
      </x:c>
      <x:c r="B37" s="132" t="str">
        <x:v>km/year</x:v>
      </x:c>
      <x:c r="C37" s="41" t="n">
        <x:f>Engine!C31</x:f>
        <x:v>96474.30000000002</x:v>
      </x:c>
      <x:c r="D37" s="41" t="n">
        <x:f>Engine!D31</x:f>
        <x:v>78890</x:v>
      </x:c>
      <x:c r="E37" s="13" t="str">
        <x:v>From Engine</x:v>
      </x:c>
    </x:row>
    <x:row r="38" ht="15" hidden="0" customHeight="1">
      <x:c r="A38" s="132" t="str">
        <x:v>Annual revenue excl. VAT</x:v>
      </x:c>
      <x:c r="B38" s="132" t="str">
        <x:v>EUR/year</x:v>
      </x:c>
      <x:c r="C38" s="84" t="n">
        <x:f>C35*C37</x:f>
        <x:v>160726.88188071563</x:v>
      </x:c>
      <x:c r="D38" s="84" t="n">
        <x:f>D35*D37</x:f>
        <x:v>142669.072407375</x:v>
      </x:c>
      <x:c r="E38" s="13" t="str">
        <x:v>Customer rate excl. VAT × loaded km/year</x:v>
      </x:c>
    </x:row>
    <x:row r="39" ht="15" hidden="0" customHeight="1">
      <x:c r="A39" s="132" t="str">
        <x:v>VAT collected / payable</x:v>
      </x:c>
      <x:c r="B39" s="132" t="str">
        <x:v>EUR/year</x:v>
      </x:c>
      <x:c r="C39" s="84" t="n">
        <x:f>IF(C23="Yes",C38*C24,0)</x:f>
        <x:v>33752.64519495028</x:v>
      </x:c>
      <x:c r="D39" s="84" t="n">
        <x:f>IF(D23="Yes",D38*D24,0)</x:f>
        <x:v>29960.50520554875</x:v>
      </x:c>
      <x:c r="E39" s="13" t="str">
        <x:v>Invoice VAT component</x:v>
      </x:c>
    </x:row>
    <x:row r="40" ht="15" hidden="0" customHeight="1">
      <x:c r="A40" s="132" t="str">
        <x:v>Invoice value incl. VAT</x:v>
      </x:c>
      <x:c r="B40" s="132" t="str">
        <x:v>EUR/year</x:v>
      </x:c>
      <x:c r="C40" s="84" t="n">
        <x:f>C38+C39</x:f>
        <x:v>194479.52707566592</x:v>
      </x:c>
      <x:c r="D40" s="84" t="n">
        <x:f>D38+D39</x:f>
        <x:v>172629.57761292375</x:v>
      </x:c>
      <x:c r="E40" s="13" t="str">
        <x:v>Revenue excl. VAT + VAT</x:v>
      </x:c>
    </x:row>
    <x:row r="41" ht="15" hidden="0" customHeight="1">
      <x:c r="A41" s="132" t="str">
        <x:v>EBIT before business tax</x:v>
      </x:c>
      <x:c r="B41" s="132" t="str">
        <x:v>EUR/year</x:v>
      </x:c>
      <x:c r="C41" s="84" t="n">
        <x:f>C38-Engine!C60</x:f>
        <x:v>17858.54243119061</x:v>
      </x:c>
      <x:c r="D41" s="84" t="n">
        <x:f>D38-Engine!D60</x:f>
        <x:v>15852.119156375004</x:v>
      </x:c>
      <x:c r="E41" s="13" t="str">
        <x:v>Revenue excl. VAT - operating total cost</x:v>
      </x:c>
    </x:row>
    <x:row r="42" ht="15" hidden="0" customHeight="1">
      <x:c r="A42" s="132" t="str">
        <x:v>Business tax charge</x:v>
      </x:c>
      <x:c r="B42" s="132"/>
      <x:c r="C42" s="84" t="n">
        <x:f>MAX(0,C41)*C27</x:f>
        <x:v>2857.3667889904978</x:v>
      </x:c>
      <x:c r="D42" s="84" t="n">
        <x:f>MAX(0,D41)*D27</x:f>
        <x:v>2536.339065020001</x:v>
      </x:c>
      <x:c r="E42" s="13"/>
    </x:row>
    <x:row r="43" ht="15" hidden="0" customHeight="1">
      <x:c r="A43" s="132" t="str">
        <x:v>Profit after business tax</x:v>
      </x:c>
      <x:c r="B43" s="132" t="str">
        <x:v>EUR/year</x:v>
      </x:c>
      <x:c r="C43" s="84" t="n">
        <x:f>C41-C42</x:f>
        <x:v>15001.175642200113</x:v>
      </x:c>
      <x:c r="D43" s="84" t="n">
        <x:f>D41-D42</x:f>
        <x:v>13315.780091355002</x:v>
      </x:c>
      <x:c r="E43" s="13" t="str">
        <x:v>EBIT - business tax</x:v>
      </x:c>
    </x:row>
    <x:row r="44" ht="15" hidden="0" customHeight="1">
      <x:c r="A44" s="132" t="str">
        <x:v>EBIT margin</x:v>
      </x:c>
      <x:c r="B44" s="132" t="str">
        <x:v>%</x:v>
      </x:c>
      <x:c r="C44" s="70" t="n">
        <x:f>IFERROR(C41/C38,0)</x:f>
        <x:v>0.11111111111111101</x:v>
      </x:c>
      <x:c r="D44" s="70" t="n">
        <x:f>IFERROR(D41/D38,0)</x:f>
        <x:v>0.11111111111111113</x:v>
      </x:c>
      <x:c r="E44" s="13" t="str">
        <x:v>EBIT / revenue excl. VAT</x:v>
      </x:c>
    </x:row>
    <x:row r="45" ht="15" hidden="0" customHeight="1">
      <x:c r="A45" s="132" t="str">
        <x:v>After-tax profit margin</x:v>
      </x:c>
      <x:c r="B45" s="132" t="str">
        <x:v>%</x:v>
      </x:c>
      <x:c r="C45" s="70" t="n">
        <x:f>IFERROR(C43/C38,0)</x:f>
        <x:v>0.09333333333333325</x:v>
      </x:c>
      <x:c r="D45" s="70" t="n">
        <x:f>IFERROR(D43/D38,0)</x:f>
        <x:v>0.09333333333333334</x:v>
      </x:c>
      <x:c r="E45" s="13" t="str">
        <x:v>Profit after business tax / revenue excl. VAT</x:v>
      </x:c>
    </x:row>
    <x:row r="46" ht="15" hidden="0" customHeight="1">
      <x:c r="A46" s="132" t="str">
        <x:v>Required after-tax profit</x:v>
      </x:c>
      <x:c r="B46" s="132" t="str">
        <x:v>EUR/year</x:v>
      </x:c>
      <x:c r="C46" s="68" t="n">
        <x:f>IFERROR(C38*C28/(1-C27),0)</x:f>
        <x:v>19134.152604847102</x:v>
      </x:c>
      <x:c r="D46" s="68" t="n">
        <x:f>IFERROR(D38*D28/(1-D27),0)</x:f>
        <x:v>16984.41338183036</x:v>
      </x:c>
      <x:c r="E46" s="13" t="str">
        <x:v>Revenue excl. VAT × target after-tax margin / (1 - tax rate)</x:v>
      </x:c>
    </x:row>
    <x:row r="47" ht="26.399999618530273" hidden="0" customHeight="1">
      <x:c r="A47" s="132" t="str">
        <x:v>Required customer rate for target after-tax margin</x:v>
      </x:c>
      <x:c r="B47" s="132" t="str">
        <x:v>EUR/loaded km</x:v>
      </x:c>
      <x:c r="C47" s="68" t="n">
        <x:f>IFERROR((Engine!C60+C46)/C37,0)</x:f>
        <x:v>1.6792295155743249</x:v>
      </x:c>
      <x:c r="D47" s="68" t="n">
        <x:f>IFERROR((Engine!D60+D46)/D37,0)</x:f>
        <x:v>1.8228085515633206</x:v>
      </x:c>
      <x:c r="E47" s="13" t="str">
        <x:v>(Cost + required after-tax profit) / loaded km</x:v>
      </x:c>
    </x:row>
  </x:sheetData>
  <x:mergeCells>
    <x:mergeCell ref="A1:E1"/>
  </x:mergeCells>
  <x:dataValidations count="4">
    <x:dataValidation type="list" errorStyle="warning" showInputMessage="1" showErrorMessage="1" errorTitle="Invalid country" error="Choose a value from the list." promptTitle="Country / jurisdiction" prompt="Select the jurisdiction first. This drives default company and tax rules." sqref="B4">
      <x:formula1>'Dropdown Helper'!$A$2:$A$9</x:formula1>
    </x:dataValidation>
    <x:dataValidation type="list" showInputMessage="1" promptTitle="Company type" prompt="Select a company type available for the chosen country." sqref="B5">
      <x:formula1>OFFSET('Dropdown Helper'!$B$1,MATCH($B$4,'Dropdown Helper'!$A$2:$A$9,0),0,1,5)</x:formula1>
    </x:dataValidation>
    <x:dataValidation type="list" showInputMessage="1" promptTitle="Business model" prompt="Select the operating model." sqref="B6">
      <x:formula1>OFFSET('Dropdown Helper'!$H$1,MATCH($B$4,'Dropdown Helper'!$A$2:$A$9,0),0,1,5)</x:formula1>
    </x:dataValidation>
    <x:dataValidation showInputMessage="1" promptTitle="Number of trucks" prompt="Enter the number of trucks in this profile." sqref="C29:D29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20" hidden="0" customWidth="1"/>
    <x:col min="5" max="5" width="62" hidden="0" customWidth="1"/>
  </x:cols>
  <x:sheetData>
    <x:row r="1" ht="38.400001525878906" hidden="0" customHeight="1">
      <x:c r="A1" s="87" t="str">
        <x:v>Input</x:v>
      </x:c>
      <x:c r="B1" s="87" t="str">
        <x:v>Unit</x:v>
      </x:c>
      <x:c r="C1" s="87" t="str">
        <x:v>Long Distance 40t</x:v>
      </x:c>
      <x:c r="D1" s="87" t="str">
        <x:v>Regional 40t</x:v>
      </x:c>
      <x:c r="E1" s="87" t="str">
        <x:v>Comment</x:v>
      </x:c>
    </x:row>
    <x:row r="2" ht="26.399999618530273" hidden="0" customHeight="1">
      <x:c r="A2" s="132" t="str">
        <x:v>Daily km</x:v>
      </x:c>
      <x:c r="B2" s="132" t="str">
        <x:v>km/day</x:v>
      </x:c>
      <x:c r="C2" s="92" t="n">
        <x:v>495.183887915937</x:v>
      </x:c>
      <x:c r="D2" s="92" t="n">
        <x:v>421.505376344086</x:v>
      </x:c>
      <x:c r="E2" s="13" t="str">
        <x:v>Editable daily distance; annual total km is calculated as daily km × operating days</x:v>
      </x:c>
    </x:row>
    <x:row r="3" ht="15" hidden="0" customHeight="1">
      <x:c r="A3" s="132" t="str">
        <x:v>Operating days</x:v>
      </x:c>
      <x:c r="B3" s="132" t="str">
        <x:v>days/year</x:v>
      </x:c>
      <x:c r="C3" s="92" t="n">
        <x:v>228.4</x:v>
      </x:c>
      <x:c r="D3" s="92" t="n">
        <x:v>232.5</x:v>
      </x:c>
      <x:c r="E3" s="13" t="str">
        <x:v>Vehicle operating days</x:v>
      </x:c>
    </x:row>
    <x:row r="4" ht="15" hidden="0" customHeight="1">
      <x:c r="A4" s="132" t="str">
        <x:v>Working days</x:v>
      </x:c>
      <x:c r="B4" s="132" t="str">
        <x:v>days/year</x:v>
      </x:c>
      <x:c r="C4" s="92" t="n">
        <x:v>215.2</x:v>
      </x:c>
      <x:c r="D4" s="92" t="n">
        <x:v>214.6</x:v>
      </x:c>
      <x:c r="E4" s="13" t="str">
        <x:v>Used for driver allowance calculation</x:v>
      </x:c>
    </x:row>
    <x:row r="5" ht="15" hidden="0" customHeight="1">
      <x:c r="A5" s="132" t="str">
        <x:v>Annual working hours</x:v>
      </x:c>
      <x:c r="B5" s="132" t="str">
        <x:v>hours/year</x:v>
      </x:c>
      <x:c r="C5" s="92" t="n">
        <x:v>2123</x:v>
      </x:c>
      <x:c r="D5" s="92" t="n">
        <x:v>2058</x:v>
      </x:c>
      <x:c r="E5" s="13" t="str">
        <x:v>Available driver working hours</x:v>
      </x:c>
    </x:row>
    <x:row r="6" ht="15" hidden="0" customHeight="1">
      <x:c r="A6" s="132" t="str">
        <x:v>Average speed</x:v>
      </x:c>
      <x:c r="B6" s="132" t="str">
        <x:v>km/h</x:v>
      </x:c>
      <x:c r="C6" s="92" t="n">
        <x:v>63.9</x:v>
      </x:c>
      <x:c r="D6" s="92" t="n">
        <x:v>62.5</x:v>
      </x:c>
      <x:c r="E6" s="13" t="str">
        <x:v>Used to estimate driving hours</x:v>
      </x:c>
    </x:row>
    <x:row r="7" ht="15" hidden="0" customHeight="1">
      <x:c r="A7" s="132" t="str">
        <x:v>Loaded ratio</x:v>
      </x:c>
      <x:c r="B7" s="132" t="str">
        <x:v>% loaded km</x:v>
      </x:c>
      <x:c r="C7" s="90" t="n">
        <x:v>0.853</x:v>
      </x:c>
      <x:c r="D7" s="90" t="n">
        <x:v>0.805</x:v>
      </x:c>
      <x:c r="E7" s="13" t="str">
        <x:v>Revenue km divided by total km</x:v>
      </x:c>
    </x:row>
    <x:row r="8" ht="15" hidden="0" customHeight="1">
      <x:c r="A8" s="132" t="str">
        <x:v>Capacity utilisation</x:v>
      </x:c>
      <x:c r="B8" s="132" t="str">
        <x:v>% capacity</x:v>
      </x:c>
      <x:c r="C8" s="90" t="n">
        <x:v>0.868</x:v>
      </x:c>
      <x:c r="D8" s="90" t="n">
        <x:v>0.939</x:v>
      </x:c>
      <x:c r="E8" s="13" t="str">
        <x:v>Payload/capacity usage; diagnostic only</x:v>
      </x:c>
    </x:row>
    <x:row r="9" ht="15" hidden="0" customHeight="1">
      <x:c r="A9" s="132" t="str">
        <x:v>Waiting/loading/unloading time</x:v>
      </x:c>
      <x:c r="B9" s="132" t="str">
        <x:v>hours/day</x:v>
      </x:c>
      <x:c r="C9" s="47" t="n">
        <x:v>3.3833333333</x:v>
      </x:c>
      <x:c r="D9" s="47" t="n">
        <x:v>3.4</x:v>
      </x:c>
      <x:c r="E9" s="13" t="str">
        <x:v>Converted from original waiting-time text</x:v>
      </x:c>
    </x:row>
    <x:row r="10" ht="15" hidden="0" customHeight="1">
      <x:c r="A10" s="132" t="str">
        <x:v>Fuel consumption</x:v>
      </x:c>
      <x:c r="B10" s="132" t="str">
        <x:v>L/100km</x:v>
      </x:c>
      <x:c r="C10" s="92" t="n">
        <x:v>34.2</x:v>
      </x:c>
      <x:c r="D10" s="92" t="n">
        <x:v>33.8</x:v>
      </x:c>
      <x:c r="E10" s="13" t="str">
        <x:v>Average consumption</x:v>
      </x:c>
    </x:row>
    <x:row r="11" ht="15" hidden="0" customHeight="1">
      <x:c r="A11" s="132" t="str">
        <x:v>Fuel price excl. VAT</x:v>
      </x:c>
      <x:c r="B11" s="132" t="str">
        <x:v>EUR/L</x:v>
      </x:c>
      <x:c r="C11" s="92" t="n">
        <x:v>1.265524625</x:v>
      </x:c>
      <x:c r="D11" s="92" t="n">
        <x:v>1.265524625</x:v>
      </x:c>
      <x:c r="E11" s="13" t="str">
        <x:v>Original formula 5.91 / 4.67</x:v>
      </x:c>
    </x:row>
    <x:row r="12" ht="15" hidden="0" customHeight="1">
      <x:c r="A12" s="132" t="str">
        <x:v>Tyres annual cost</x:v>
      </x:c>
      <x:c r="B12" s="132" t="str">
        <x:v>EUR/year</x:v>
      </x:c>
      <x:c r="C12" s="92" t="n">
        <x:v>3098</x:v>
      </x:c>
      <x:c r="D12" s="92" t="n">
        <x:v>3101</x:v>
      </x:c>
      <x:c r="E12" s="13"/>
    </x:row>
    <x:row r="13" ht="15" hidden="0" customHeight="1">
      <x:c r="A13" s="132" t="str">
        <x:v>Maintenance annual cost</x:v>
      </x:c>
      <x:c r="B13" s="132" t="str">
        <x:v>EUR/year</x:v>
      </x:c>
      <x:c r="C13" s="92" t="n">
        <x:v>8221</x:v>
      </x:c>
      <x:c r="D13" s="92" t="n">
        <x:v>7278</x:v>
      </x:c>
      <x:c r="E13" s="13"/>
    </x:row>
    <x:row r="14" ht="15" hidden="0" customHeight="1">
      <x:c r="A14" s="132" t="str">
        <x:v>Road fees annual cost</x:v>
      </x:c>
      <x:c r="B14" s="132" t="str">
        <x:v>EUR/year</x:v>
      </x:c>
      <x:c r="C14" s="92" t="n">
        <x:v>8090</x:v>
      </x:c>
      <x:c r="D14" s="92" t="n">
        <x:v>5805</x:v>
      </x:c>
      <x:c r="E14" s="13"/>
    </x:row>
    <x:row r="15" ht="15" hidden="0" customHeight="1">
      <x:c r="A15" s="132" t="str">
        <x:v>Tractor ownership annual cost</x:v>
      </x:c>
      <x:c r="B15" s="132" t="str">
        <x:v>EUR/year</x:v>
      </x:c>
      <x:c r="C15" s="92" t="n">
        <x:v>10793</x:v>
      </x:c>
      <x:c r="D15" s="92" t="n">
        <x:v>10934</x:v>
      </x:c>
      <x:c r="E15" s="13"/>
    </x:row>
    <x:row r="16" ht="15" hidden="0" customHeight="1">
      <x:c r="A16" s="132" t="str">
        <x:v>Trailer ownership annual cost</x:v>
      </x:c>
      <x:c r="B16" s="132" t="str">
        <x:v>EUR/year</x:v>
      </x:c>
      <x:c r="C16" s="92" t="n">
        <x:v>3208</x:v>
      </x:c>
      <x:c r="D16" s="92" t="n">
        <x:v>3551</x:v>
      </x:c>
      <x:c r="E16" s="13"/>
    </x:row>
    <x:row r="17" ht="15" hidden="0" customHeight="1">
      <x:c r="A17" s="132" t="str">
        <x:v>Vehicle insurance annual</x:v>
      </x:c>
      <x:c r="B17" s="132" t="str">
        <x:v>EUR/year</x:v>
      </x:c>
      <x:c r="C17" s="92" t="n">
        <x:v>2198</x:v>
      </x:c>
      <x:c r="D17" s="92" t="n">
        <x:v>2598</x:v>
      </x:c>
      <x:c r="E17" s="13"/>
    </x:row>
    <x:row r="18" ht="15" hidden="0" customHeight="1">
      <x:c r="A18" s="132" t="str">
        <x:v>Cargo insurance annual</x:v>
      </x:c>
      <x:c r="B18" s="132" t="str">
        <x:v>EUR/year</x:v>
      </x:c>
      <x:c r="C18" s="92" t="n">
        <x:v>477</x:v>
      </x:c>
      <x:c r="D18" s="92" t="n">
        <x:v>411</x:v>
      </x:c>
      <x:c r="E18" s="13"/>
    </x:row>
    <x:row r="19" ht="26.399999618530273" hidden="0" customHeight="1">
      <x:c r="A19" s="132" t="str">
        <x:v>Vehicle taxes annual</x:v>
      </x:c>
      <x:c r="B19" s="132" t="str">
        <x:v>EUR/year</x:v>
      </x:c>
      <x:c r="C19" s="94" t="n">
        <x:f>'Company &amp; Tax Profile'!$B$16</x:f>
        <x:v>500</x:v>
      </x:c>
      <x:c r="D19" s="94" t="n">
        <x:f>'Company &amp; Tax Profile'!$B$16</x:f>
        <x:v>500</x:v>
      </x:c>
      <x:c r="E19" s="13" t="str">
        <x:v>Linked from Company &amp; Tax Profile; replace country default with vehicle-specific tax if needed.</x:v>
      </x:c>
    </x:row>
    <x:row r="20" ht="15" hidden="0" customHeight="1">
      <x:c r="A20" s="132" t="str">
        <x:v>Monthly driver salary</x:v>
      </x:c>
      <x:c r="B20" s="132" t="str">
        <x:v>EUR/month</x:v>
      </x:c>
      <x:c r="C20" s="92" t="n">
        <x:v>2348.72</x:v>
      </x:c>
      <x:c r="D20" s="92" t="n">
        <x:v>2182.15</x:v>
      </x:c>
      <x:c r="E20" s="13"/>
    </x:row>
    <x:row r="21" ht="15" hidden="0" customHeight="1">
      <x:c r="A21" s="132" t="str">
        <x:v>Employer tax rate on salary</x:v>
      </x:c>
      <x:c r="B21" s="132" t="str">
        <x:v>%</x:v>
      </x:c>
      <x:c r="C21" s="94" t="n">
        <x:f>'Company &amp; Tax Profile'!$B$14</x:f>
        <x:v>0.0225</x:v>
      </x:c>
      <x:c r="D21" s="94" t="n">
        <x:f>'Company &amp; Tax Profile'!$B$14</x:f>
        <x:v>0.0225</x:v>
      </x:c>
      <x:c r="E21" s="13" t="str">
        <x:v>Linked from Company &amp; Tax Profile employer payroll contribution rate.</x:v>
      </x:c>
    </x:row>
    <x:row r="22" ht="15" hidden="0" customHeight="1">
      <x:c r="A22" s="132" t="str">
        <x:v>Travel allowance per working day</x:v>
      </x:c>
      <x:c r="B22" s="132" t="str">
        <x:v>EUR/day</x:v>
      </x:c>
      <x:c r="C22" s="92" t="n">
        <x:v>38.36</x:v>
      </x:c>
      <x:c r="D22" s="92" t="n">
        <x:v>16.53</x:v>
      </x:c>
      <x:c r="E22" s="13"/>
    </x:row>
    <x:row r="23" ht="15" hidden="0" customHeight="1">
      <x:c r="A23" s="132" t="str">
        <x:v>Drivers per vehicle</x:v>
      </x:c>
      <x:c r="B23" s="132" t="str">
        <x:v>count</x:v>
      </x:c>
      <x:c r="C23" s="92" t="n">
        <x:v>1.064</x:v>
      </x:c>
      <x:c r="D23" s="92" t="n">
        <x:v>1.085</x:v>
      </x:c>
      <x:c r="E23" s="13"/>
    </x:row>
    <x:row r="24" ht="15" hidden="0" customHeight="1">
      <x:c r="A24" s="132" t="str">
        <x:v>Structural overhead annual</x:v>
      </x:c>
      <x:c r="B24" s="132" t="str">
        <x:v>EUR/year</x:v>
      </x:c>
      <x:c r="C24" s="92" t="n">
        <x:v>17886</x:v>
      </x:c>
      <x:c r="D24" s="92" t="n">
        <x:v>17820</x:v>
      </x:c>
      <x:c r="E24" s="13"/>
    </x:row>
    <x:row r="25" ht="15" hidden="0" customHeight="1">
      <x:c r="A25" s="132" t="str">
        <x:v>Commercial/admin overhead annual cost</x:v>
      </x:c>
      <x:c r="B25" s="132" t="str">
        <x:v>EUR/year</x:v>
      </x:c>
      <x:c r="C25" s="92" t="n">
        <x:v>0</x:v>
      </x:c>
      <x:c r="D25" s="92" t="n">
        <x:v>0</x:v>
      </x:c>
      <x:c r="E25" s="13" t="str">
        <x:v>Optional general commercial overhead, set to zero by default</x:v>
      </x:c>
    </x:row>
    <x:row r="26" ht="15" hidden="0" customHeight="1">
      <x:c r="A26" s="132" t="str">
        <x:v>Target EBIT margin</x:v>
      </x:c>
      <x:c r="B26" s="132" t="str">
        <x:v>% revenue</x:v>
      </x:c>
      <x:c r="C26" s="90" t="n">
        <x:v>0.1</x:v>
      </x:c>
      <x:c r="D26" s="90" t="n">
        <x:v>0.1</x:v>
      </x:c>
      <x:c r="E26" s="13" t="str">
        <x:v>Required margin on revenue</x:v>
      </x:c>
    </x:row>
    <x:row r="27" ht="26.399999618530273" hidden="0" customHeight="1">
      <x:c r="A27" s="132" t="str">
        <x:v>Customer pricing source</x:v>
      </x:c>
      <x:c r="B27" s="132" t="str">
        <x:v>sheet</x:v>
      </x:c>
      <x:c r="C27" s="55" t="str">
        <x:v>Pricing Scenarios</x:v>
      </x:c>
      <x:c r="D27" s="55" t="str">
        <x:v>Pricing Scenarios</x:v>
      </x:c>
      <x:c r="E27" s="13" t="str">
        <x:v>Customer rate is calculated after break-even; it is no longer an input assumption.</x:v>
      </x:c>
    </x:row>
    <x:row r="28" ht="15" hidden="0" customHeight="1">
      <x:c r="A28" s="132" t="str">
        <x:v>Computed annual total km</x:v>
      </x:c>
      <x:c r="B28" s="132" t="str">
        <x:v>km/year</x:v>
      </x:c>
      <x:c r="C28" s="96" t="n">
        <x:f>C2*C3</x:f>
        <x:v>113100.00000000001</x:v>
      </x:c>
      <x:c r="D28" s="96" t="n">
        <x:f>D2*D3</x:f>
        <x:v>98000</x:v>
      </x:c>
      <x:c r="E28" s="13" t="str">
        <x:v>Formula: daily km × operating days</x:v>
      </x:c>
    </x:row>
  </x:sheetData>
  <x:dataValidations count="1">
    <x:dataValidation type="decimal" showInputMessage="1" promptTitle="Operational input" prompt="Enter a non-negative value." sqref="C2:D26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0" hidden="0" customWidth="1"/>
    <x:col min="5" max="5" width="60" hidden="0" customWidth="1"/>
  </x:cols>
  <x:sheetData>
    <x:row r="1" ht="15" hidden="0" customHeight="1">
      <x:c r="A1" s="22" t="str">
        <x:v>Metric</x:v>
      </x:c>
      <x:c r="B1" s="22" t="str">
        <x:v>Unit</x:v>
      </x:c>
      <x:c r="C1" s="22" t="str">
        <x:v>Long Distance 40t</x:v>
      </x:c>
      <x:c r="D1" s="22" t="str">
        <x:v>Regional 40t</x:v>
      </x:c>
      <x:c r="E1" s="77" t="str">
        <x:v>Formula logic</x:v>
      </x:c>
    </x:row>
    <x:row r="2" ht="15" hidden="0" customHeight="1">
      <x:c r="A2" s="35" t="str">
        <x:v>Input links</x:v>
      </x:c>
      <x:c r="B2" s="35"/>
      <x:c r="C2" s="35"/>
      <x:c r="D2" s="35"/>
      <x:c r="E2" s="103"/>
    </x:row>
    <x:row r="3" ht="15" hidden="0" customHeight="1">
      <x:c r="A3" s="132" t="str">
        <x:v>Annual total km</x:v>
      </x:c>
      <x:c r="B3" s="132" t="str">
        <x:v>km/year</x:v>
      </x:c>
      <x:c r="C3" s="55" t="n">
        <x:f>Inputs!C28</x:f>
        <x:v>113100.00000000001</x:v>
      </x:c>
      <x:c r="D3" s="55" t="n">
        <x:f>Inputs!D28</x:f>
        <x:v>98000</x:v>
      </x:c>
      <x:c r="E3" s="13" t="str">
        <x:v>Computed from daily km × operating days</x:v>
      </x:c>
    </x:row>
    <x:row r="4" ht="15" hidden="0" customHeight="1">
      <x:c r="A4" s="132" t="str">
        <x:v>Operating days</x:v>
      </x:c>
      <x:c r="B4" s="132" t="str">
        <x:v>days/year</x:v>
      </x:c>
      <x:c r="C4" s="55" t="n">
        <x:f>Inputs!C3</x:f>
        <x:v>228.4</x:v>
      </x:c>
      <x:c r="D4" s="55" t="n">
        <x:f>Inputs!D3</x:f>
        <x:v>232.5</x:v>
      </x:c>
      <x:c r="E4" s="13" t="str">
        <x:v>Inputs</x:v>
      </x:c>
    </x:row>
    <x:row r="5" ht="15" hidden="0" customHeight="1">
      <x:c r="A5" s="132" t="str">
        <x:v>Working days</x:v>
      </x:c>
      <x:c r="B5" s="132" t="str">
        <x:v>days/year</x:v>
      </x:c>
      <x:c r="C5" s="55" t="n">
        <x:f>Inputs!C4</x:f>
        <x:v>215.2</x:v>
      </x:c>
      <x:c r="D5" s="55" t="n">
        <x:f>Inputs!D4</x:f>
        <x:v>214.6</x:v>
      </x:c>
      <x:c r="E5" s="13" t="str">
        <x:v>Inputs</x:v>
      </x:c>
    </x:row>
    <x:row r="6" ht="15" hidden="0" customHeight="1">
      <x:c r="A6" s="132" t="str">
        <x:v>Annual working hours</x:v>
      </x:c>
      <x:c r="B6" s="132" t="str">
        <x:v>hours/year</x:v>
      </x:c>
      <x:c r="C6" s="55" t="n">
        <x:f>Inputs!C5</x:f>
        <x:v>2123</x:v>
      </x:c>
      <x:c r="D6" s="55" t="n">
        <x:f>Inputs!D5</x:f>
        <x:v>2058</x:v>
      </x:c>
      <x:c r="E6" s="13" t="str">
        <x:v>Inputs</x:v>
      </x:c>
    </x:row>
    <x:row r="7" ht="15" hidden="0" customHeight="1">
      <x:c r="A7" s="132" t="str">
        <x:v>Average speed</x:v>
      </x:c>
      <x:c r="B7" s="132" t="str">
        <x:v>km/h</x:v>
      </x:c>
      <x:c r="C7" s="55" t="n">
        <x:f>Inputs!C6</x:f>
        <x:v>63.9</x:v>
      </x:c>
      <x:c r="D7" s="55" t="n">
        <x:f>Inputs!D6</x:f>
        <x:v>62.5</x:v>
      </x:c>
      <x:c r="E7" s="13" t="str">
        <x:v>Inputs</x:v>
      </x:c>
    </x:row>
    <x:row r="8" ht="15" hidden="0" customHeight="1">
      <x:c r="A8" s="132" t="str">
        <x:v>Loaded ratio</x:v>
      </x:c>
      <x:c r="B8" s="132" t="str">
        <x:v>% loaded km</x:v>
      </x:c>
      <x:c r="C8" s="80" t="n">
        <x:f>Inputs!C7</x:f>
        <x:v>0.853</x:v>
      </x:c>
      <x:c r="D8" s="80" t="n">
        <x:f>Inputs!D7</x:f>
        <x:v>0.805</x:v>
      </x:c>
      <x:c r="E8" s="13" t="str">
        <x:v>Inputs</x:v>
      </x:c>
    </x:row>
    <x:row r="9" ht="15" hidden="0" customHeight="1">
      <x:c r="A9" s="132" t="str">
        <x:v>Capacity utilisation</x:v>
      </x:c>
      <x:c r="B9" s="132" t="str">
        <x:v>% capacity</x:v>
      </x:c>
      <x:c r="C9" s="80" t="n">
        <x:f>Inputs!C8</x:f>
        <x:v>0.868</x:v>
      </x:c>
      <x:c r="D9" s="80" t="n">
        <x:f>Inputs!D8</x:f>
        <x:v>0.939</x:v>
      </x:c>
      <x:c r="E9" s="13" t="str">
        <x:v>Diagnostic</x:v>
      </x:c>
    </x:row>
    <x:row r="10" ht="15" hidden="0" customHeight="1">
      <x:c r="A10" s="132" t="str">
        <x:v>Waiting/loading/unloading time</x:v>
      </x:c>
      <x:c r="B10" s="132" t="str">
        <x:v>hours/day</x:v>
      </x:c>
      <x:c r="C10" s="55" t="n">
        <x:f>Inputs!C9</x:f>
        <x:v>3.3833333333</x:v>
      </x:c>
      <x:c r="D10" s="55" t="n">
        <x:f>Inputs!D9</x:f>
        <x:v>3.4</x:v>
      </x:c>
      <x:c r="E10" s="13" t="str">
        <x:v>Inputs</x:v>
      </x:c>
    </x:row>
    <x:row r="11" ht="15" hidden="0" customHeight="1">
      <x:c r="A11" s="132" t="str">
        <x:v>Fuel consumption</x:v>
      </x:c>
      <x:c r="B11" s="132" t="str">
        <x:v>L/100km</x:v>
      </x:c>
      <x:c r="C11" s="55" t="n">
        <x:f>Inputs!C10</x:f>
        <x:v>34.2</x:v>
      </x:c>
      <x:c r="D11" s="55" t="n">
        <x:f>Inputs!D10</x:f>
        <x:v>33.8</x:v>
      </x:c>
      <x:c r="E11" s="13" t="str">
        <x:v>Inputs</x:v>
      </x:c>
    </x:row>
    <x:row r="12" ht="15" hidden="0" customHeight="1">
      <x:c r="A12" s="132" t="str">
        <x:v>Fuel price excl. VAT</x:v>
      </x:c>
      <x:c r="B12" s="132" t="str">
        <x:v>EUR/L</x:v>
      </x:c>
      <x:c r="C12" s="55" t="n">
        <x:f>Inputs!C11</x:f>
        <x:v>1.265524625</x:v>
      </x:c>
      <x:c r="D12" s="55" t="n">
        <x:f>Inputs!D11</x:f>
        <x:v>1.265524625</x:v>
      </x:c>
      <x:c r="E12" s="13" t="str">
        <x:v>Inputs</x:v>
      </x:c>
    </x:row>
    <x:row r="13" ht="15" hidden="0" customHeight="1">
      <x:c r="A13" s="132" t="str">
        <x:v>Tyres annual cost</x:v>
      </x:c>
      <x:c r="B13" s="132" t="str">
        <x:v>EUR/year</x:v>
      </x:c>
      <x:c r="C13" s="55" t="n">
        <x:f>Inputs!C12</x:f>
        <x:v>3098</x:v>
      </x:c>
      <x:c r="D13" s="55" t="n">
        <x:f>Inputs!D12</x:f>
        <x:v>3101</x:v>
      </x:c>
      <x:c r="E13" s="13" t="str">
        <x:v>Inputs</x:v>
      </x:c>
    </x:row>
    <x:row r="14" ht="15" hidden="0" customHeight="1">
      <x:c r="A14" s="132" t="str">
        <x:v>Maintenance annual cost</x:v>
      </x:c>
      <x:c r="B14" s="132" t="str">
        <x:v>EUR/year</x:v>
      </x:c>
      <x:c r="C14" s="55" t="n">
        <x:f>Inputs!C13</x:f>
        <x:v>8221</x:v>
      </x:c>
      <x:c r="D14" s="55" t="n">
        <x:f>Inputs!D13</x:f>
        <x:v>7278</x:v>
      </x:c>
      <x:c r="E14" s="13" t="str">
        <x:v>Inputs</x:v>
      </x:c>
    </x:row>
    <x:row r="15" ht="15" hidden="0" customHeight="1">
      <x:c r="A15" s="132" t="str">
        <x:v>Road fees annual cost</x:v>
      </x:c>
      <x:c r="B15" s="132" t="str">
        <x:v>EUR/year</x:v>
      </x:c>
      <x:c r="C15" s="55" t="n">
        <x:f>Inputs!C14</x:f>
        <x:v>8090</x:v>
      </x:c>
      <x:c r="D15" s="55" t="n">
        <x:f>Inputs!D14</x:f>
        <x:v>5805</x:v>
      </x:c>
      <x:c r="E15" s="13" t="str">
        <x:v>Inputs</x:v>
      </x:c>
    </x:row>
    <x:row r="16" ht="15" hidden="0" customHeight="1">
      <x:c r="A16" s="132" t="str">
        <x:v>Tractor ownership annual cost</x:v>
      </x:c>
      <x:c r="B16" s="132" t="str">
        <x:v>EUR/year</x:v>
      </x:c>
      <x:c r="C16" s="55" t="n">
        <x:f>Inputs!C15</x:f>
        <x:v>10793</x:v>
      </x:c>
      <x:c r="D16" s="55" t="n">
        <x:f>Inputs!D15</x:f>
        <x:v>10934</x:v>
      </x:c>
      <x:c r="E16" s="13" t="str">
        <x:v>Inputs</x:v>
      </x:c>
    </x:row>
    <x:row r="17" ht="15" hidden="0" customHeight="1">
      <x:c r="A17" s="132" t="str">
        <x:v>Trailer ownership annual cost</x:v>
      </x:c>
      <x:c r="B17" s="132" t="str">
        <x:v>EUR/year</x:v>
      </x:c>
      <x:c r="C17" s="55" t="n">
        <x:f>Inputs!C16</x:f>
        <x:v>3208</x:v>
      </x:c>
      <x:c r="D17" s="55" t="n">
        <x:f>Inputs!D16</x:f>
        <x:v>3551</x:v>
      </x:c>
      <x:c r="E17" s="13" t="str">
        <x:v>Inputs</x:v>
      </x:c>
    </x:row>
    <x:row r="18" ht="15" hidden="0" customHeight="1">
      <x:c r="A18" s="132" t="str">
        <x:v>Vehicle insurance annual</x:v>
      </x:c>
      <x:c r="B18" s="132" t="str">
        <x:v>EUR/year</x:v>
      </x:c>
      <x:c r="C18" s="55" t="n">
        <x:f>Inputs!C17</x:f>
        <x:v>2198</x:v>
      </x:c>
      <x:c r="D18" s="55" t="n">
        <x:f>Inputs!D17</x:f>
        <x:v>2598</x:v>
      </x:c>
      <x:c r="E18" s="13" t="str">
        <x:v>Inputs</x:v>
      </x:c>
    </x:row>
    <x:row r="19" ht="15" hidden="0" customHeight="1">
      <x:c r="A19" s="132" t="str">
        <x:v>Cargo insurance annual</x:v>
      </x:c>
      <x:c r="B19" s="132" t="str">
        <x:v>EUR/year</x:v>
      </x:c>
      <x:c r="C19" s="55" t="n">
        <x:f>Inputs!C18</x:f>
        <x:v>477</x:v>
      </x:c>
      <x:c r="D19" s="55" t="n">
        <x:f>Inputs!D18</x:f>
        <x:v>411</x:v>
      </x:c>
      <x:c r="E19" s="13" t="str">
        <x:v>Inputs</x:v>
      </x:c>
    </x:row>
    <x:row r="20" ht="15" hidden="0" customHeight="1">
      <x:c r="A20" s="132" t="str">
        <x:v>Vehicle taxes annual</x:v>
      </x:c>
      <x:c r="B20" s="132" t="str">
        <x:v>EUR/year</x:v>
      </x:c>
      <x:c r="C20" s="55" t="n">
        <x:f>Inputs!C19</x:f>
        <x:v>500</x:v>
      </x:c>
      <x:c r="D20" s="55" t="n">
        <x:f>Inputs!D19</x:f>
        <x:v>500</x:v>
      </x:c>
      <x:c r="E20" s="13" t="str">
        <x:v>Inputs</x:v>
      </x:c>
    </x:row>
    <x:row r="21" ht="15" hidden="0" customHeight="1">
      <x:c r="A21" s="132" t="str">
        <x:v>Monthly driver salary</x:v>
      </x:c>
      <x:c r="B21" s="132" t="str">
        <x:v>EUR/month</x:v>
      </x:c>
      <x:c r="C21" s="80" t="n">
        <x:f>Inputs!C20</x:f>
        <x:v>2348.72</x:v>
      </x:c>
      <x:c r="D21" s="80" t="n">
        <x:f>Inputs!D20</x:f>
        <x:v>2182.15</x:v>
      </x:c>
      <x:c r="E21" s="13" t="str">
        <x:v>Inputs</x:v>
      </x:c>
    </x:row>
    <x:row r="22" ht="15" hidden="0" customHeight="1">
      <x:c r="A22" s="132" t="str">
        <x:v>Employer tax rate on salary</x:v>
      </x:c>
      <x:c r="B22" s="132" t="str">
        <x:v>%</x:v>
      </x:c>
      <x:c r="C22" s="80" t="n">
        <x:f>Inputs!C21</x:f>
        <x:v>0.0225</x:v>
      </x:c>
      <x:c r="D22" s="80" t="n">
        <x:f>Inputs!D21</x:f>
        <x:v>0.0225</x:v>
      </x:c>
      <x:c r="E22" s="13" t="str">
        <x:v>Inputs</x:v>
      </x:c>
    </x:row>
    <x:row r="23" ht="15" hidden="0" customHeight="1">
      <x:c r="A23" s="132" t="str">
        <x:v>Travel allowance per working day</x:v>
      </x:c>
      <x:c r="B23" s="132" t="str">
        <x:v>EUR/day</x:v>
      </x:c>
      <x:c r="C23" s="55" t="n">
        <x:f>Inputs!C22</x:f>
        <x:v>38.36</x:v>
      </x:c>
      <x:c r="D23" s="55" t="n">
        <x:f>Inputs!D22</x:f>
        <x:v>16.53</x:v>
      </x:c>
      <x:c r="E23" s="13" t="str">
        <x:v>Inputs</x:v>
      </x:c>
    </x:row>
    <x:row r="24" ht="15" hidden="0" customHeight="1">
      <x:c r="A24" s="132" t="str">
        <x:v>Drivers per vehicle</x:v>
      </x:c>
      <x:c r="B24" s="132" t="str">
        <x:v>count</x:v>
      </x:c>
      <x:c r="C24" s="55" t="n">
        <x:f>Inputs!C23</x:f>
        <x:v>1.064</x:v>
      </x:c>
      <x:c r="D24" s="55" t="n">
        <x:f>Inputs!D23</x:f>
        <x:v>1.085</x:v>
      </x:c>
      <x:c r="E24" s="13" t="str">
        <x:v>Inputs</x:v>
      </x:c>
    </x:row>
    <x:row r="25" ht="15" hidden="0" customHeight="1">
      <x:c r="A25" s="132" t="str">
        <x:v>Structural overhead annual</x:v>
      </x:c>
      <x:c r="B25" s="132" t="str">
        <x:v>EUR/year</x:v>
      </x:c>
      <x:c r="C25" s="55" t="n">
        <x:f>Inputs!C24</x:f>
        <x:v>17886</x:v>
      </x:c>
      <x:c r="D25" s="55" t="n">
        <x:f>Inputs!D24</x:f>
        <x:v>17820</x:v>
      </x:c>
      <x:c r="E25" s="13" t="str">
        <x:v>Inputs</x:v>
      </x:c>
    </x:row>
    <x:row r="26" ht="15" hidden="0" customHeight="1">
      <x:c r="A26" s="132" t="str">
        <x:v>Commercial/admin overhead annual cost</x:v>
      </x:c>
      <x:c r="B26" s="132" t="str">
        <x:v>EUR/year</x:v>
      </x:c>
      <x:c r="C26" s="55" t="n">
        <x:f>Inputs!C25</x:f>
        <x:v>0</x:v>
      </x:c>
      <x:c r="D26" s="55" t="n">
        <x:f>Inputs!D25</x:f>
        <x:v>0</x:v>
      </x:c>
      <x:c r="E26" s="13" t="str">
        <x:v>Inputs</x:v>
      </x:c>
    </x:row>
    <x:row r="27" ht="15" hidden="0" customHeight="1">
      <x:c r="A27" s="132" t="str">
        <x:v>Target EBIT margin</x:v>
      </x:c>
      <x:c r="B27" s="132" t="str">
        <x:v>% revenue</x:v>
      </x:c>
      <x:c r="C27" s="80" t="n">
        <x:f>Inputs!C26</x:f>
        <x:v>0.1</x:v>
      </x:c>
      <x:c r="D27" s="80" t="n">
        <x:f>Inputs!D26</x:f>
        <x:v>0.1</x:v>
      </x:c>
      <x:c r="E27" s="13" t="str">
        <x:v>Inputs</x:v>
      </x:c>
    </x:row>
    <x:row r="28" ht="15" hidden="0" customHeight="1">
      <x:c r="A28" s="132" t="str">
        <x:v>Selected customer rate per loaded km</x:v>
      </x:c>
      <x:c r="B28" s="132" t="str">
        <x:v>EUR/loaded km</x:v>
      </x:c>
      <x:c r="C28" s="55" t="n">
        <x:f>'Pricing Scenarios'!C18</x:f>
        <x:v>1.6660072359241334</x:v>
      </x:c>
      <x:c r="D28" s="55" t="n">
        <x:f>'Pricing Scenarios'!D18</x:f>
        <x:v>1.8084557283226645</x:v>
      </x:c>
      <x:c r="E28" s="13" t="str">
        <x:v>Calculated in Pricing Scenarios after break-even price</x:v>
      </x:c>
    </x:row>
    <x:row r="29" ht="15" hidden="0" customHeight="1">
      <x:c r="A29" s="132"/>
      <x:c r="B29" s="132"/>
      <x:c r="C29" s="55"/>
      <x:c r="D29" s="55"/>
      <x:c r="E29" s="13"/>
    </x:row>
    <x:row r="30" ht="15" hidden="0" customHeight="1">
      <x:c r="A30" s="35" t="str">
        <x:v>Operational outputs</x:v>
      </x:c>
      <x:c r="B30" s="35"/>
      <x:c r="C30" s="99"/>
      <x:c r="D30" s="99"/>
      <x:c r="E30" s="103"/>
    </x:row>
    <x:row r="31" ht="15" hidden="0" customHeight="1">
      <x:c r="A31" s="132" t="str">
        <x:v>Loaded revenue km</x:v>
      </x:c>
      <x:c r="B31" s="132" t="str">
        <x:v>km/year</x:v>
      </x:c>
      <x:c r="C31" s="55" t="n">
        <x:f>IFERROR(C3*C8,0)</x:f>
        <x:v>96474.30000000002</x:v>
      </x:c>
      <x:c r="D31" s="55" t="n">
        <x:f>IFERROR(D3*D8,0)</x:f>
        <x:v>78890</x:v>
      </x:c>
      <x:c r="E31" s="13" t="str">
        <x:v>Annual total km × loaded ratio</x:v>
      </x:c>
    </x:row>
    <x:row r="32" ht="15" hidden="0" customHeight="1">
      <x:c r="A32" s="132" t="str">
        <x:v>Empty/non-revenue km</x:v>
      </x:c>
      <x:c r="B32" s="132" t="str">
        <x:v>km/year</x:v>
      </x:c>
      <x:c r="C32" s="55" t="n">
        <x:f>IFERROR(C3-C31,0)</x:f>
        <x:v>16625.699999999997</x:v>
      </x:c>
      <x:c r="D32" s="55" t="n">
        <x:f>IFERROR(D3-D31,0)</x:f>
        <x:v>19110</x:v>
      </x:c>
      <x:c r="E32" s="13" t="str">
        <x:v>Annual total km - loaded km</x:v>
      </x:c>
    </x:row>
    <x:row r="33" ht="15" hidden="0" customHeight="1">
      <x:c r="A33" s="132" t="str">
        <x:v>Driving hours</x:v>
      </x:c>
      <x:c r="B33" s="132" t="str">
        <x:v>hours/year</x:v>
      </x:c>
      <x:c r="C33" s="55" t="n">
        <x:f>IFERROR(C3/C7,0)</x:f>
        <x:v>1769.9530516431928</x:v>
      </x:c>
      <x:c r="D33" s="55" t="n">
        <x:f>IFERROR(D3/D7,0)</x:f>
        <x:v>1568</x:v>
      </x:c>
      <x:c r="E33" s="13" t="str">
        <x:v>Annual total km / average speed</x:v>
      </x:c>
    </x:row>
    <x:row r="34" ht="15" hidden="0" customHeight="1">
      <x:c r="A34" s="132" t="str">
        <x:v>Waiting/loading/unloading hours</x:v>
      </x:c>
      <x:c r="B34" s="132" t="str">
        <x:v>hours/year</x:v>
      </x:c>
      <x:c r="C34" s="55" t="n">
        <x:f>IFERROR(C4*C10,0)</x:f>
        <x:v>772.7533333257201</x:v>
      </x:c>
      <x:c r="D34" s="55" t="n">
        <x:f>IFERROR(D4*D10,0)</x:f>
        <x:v>790.5</x:v>
      </x:c>
      <x:c r="E34" s="13" t="str">
        <x:v>Operating days × waiting time/day</x:v>
      </x:c>
    </x:row>
    <x:row r="35" ht="15" hidden="0" customHeight="1">
      <x:c r="A35" s="132" t="str">
        <x:v>Total activity hours</x:v>
      </x:c>
      <x:c r="B35" s="132" t="str">
        <x:v>hours/year</x:v>
      </x:c>
      <x:c r="C35" s="55" t="n">
        <x:f>IFERROR(C33+C34,0)</x:f>
        <x:v>2542.706384968913</x:v>
      </x:c>
      <x:c r="D35" s="55" t="n">
        <x:f>IFERROR(D33+D34,0)</x:f>
        <x:v>2358.5</x:v>
      </x:c>
      <x:c r="E35" s="13" t="str">
        <x:v>Driving hours + waiting/loading/unloading hours</x:v>
      </x:c>
    </x:row>
    <x:row r="36" ht="15" hidden="0" customHeight="1">
      <x:c r="A36" s="132"/>
      <x:c r="B36" s="132"/>
      <x:c r="C36" s="55"/>
      <x:c r="D36" s="55"/>
      <x:c r="E36" s="13"/>
    </x:row>
    <x:row r="37" ht="15" hidden="0" customHeight="1">
      <x:c r="A37" s="35" t="str">
        <x:v>Variable cost block</x:v>
      </x:c>
      <x:c r="B37" s="35"/>
      <x:c r="C37" s="99"/>
      <x:c r="D37" s="99"/>
      <x:c r="E37" s="103"/>
    </x:row>
    <x:row r="38" ht="15" hidden="0" customHeight="1">
      <x:c r="A38" s="132" t="str">
        <x:v>Fuel cost</x:v>
      </x:c>
      <x:c r="B38" s="132" t="str">
        <x:v>EUR/total km</x:v>
      </x:c>
      <x:c r="C38" s="55" t="n">
        <x:f>IFERROR(C11/100*C12,0)</x:f>
        <x:v>0.43280942175000003</x:v>
      </x:c>
      <x:c r="D38" s="55" t="n">
        <x:f>IFERROR(D11/100*D12,0)</x:f>
        <x:v>0.42774732325</x:v>
      </x:c>
      <x:c r="E38" s="13" t="str">
        <x:v>Fuel consumption / 100 × fuel price</x:v>
      </x:c>
    </x:row>
    <x:row r="39" ht="15" hidden="0" customHeight="1">
      <x:c r="A39" s="132" t="str">
        <x:v>Tyres cost</x:v>
      </x:c>
      <x:c r="B39" s="132" t="str">
        <x:v>EUR/total km</x:v>
      </x:c>
      <x:c r="C39" s="55" t="n">
        <x:f>IFERROR(C13/C3,0)</x:f>
        <x:v>0.027391688770999113</x:v>
      </x:c>
      <x:c r="D39" s="55" t="n">
        <x:f>IFERROR(D13/D3,0)</x:f>
        <x:v>0.031642857142857146</x:v>
      </x:c>
      <x:c r="E39" s="13" t="str">
        <x:v>Annual tyres / annual total km</x:v>
      </x:c>
    </x:row>
    <x:row r="40" ht="15" hidden="0" customHeight="1">
      <x:c r="A40" s="132" t="str">
        <x:v>Maintenance cost</x:v>
      </x:c>
      <x:c r="B40" s="132" t="str">
        <x:v>EUR/total km</x:v>
      </x:c>
      <x:c r="C40" s="55" t="n">
        <x:f>IFERROR(C14/C3,0)</x:f>
        <x:v>0.07268788682581785</x:v>
      </x:c>
      <x:c r="D40" s="55" t="n">
        <x:f>IFERROR(D14/D3,0)</x:f>
        <x:v>0.07426530612244898</x:v>
      </x:c>
      <x:c r="E40" s="13" t="str">
        <x:v>Annual maintenance / annual total km</x:v>
      </x:c>
    </x:row>
    <x:row r="41" ht="15" hidden="0" customHeight="1">
      <x:c r="A41" s="132" t="str">
        <x:v>Road fees cost</x:v>
      </x:c>
      <x:c r="B41" s="132" t="str">
        <x:v>EUR/total km</x:v>
      </x:c>
      <x:c r="C41" s="55" t="n">
        <x:f>IFERROR(C15/C3,0)</x:f>
        <x:v>0.07152961980548186</x:v>
      </x:c>
      <x:c r="D41" s="55" t="n">
        <x:f>IFERROR(D15/D3,0)</x:f>
        <x:v>0.05923469387755102</x:v>
      </x:c>
      <x:c r="E41" s="13" t="str">
        <x:v>Annual road fees / annual total km</x:v>
      </x:c>
    </x:row>
    <x:row r="42" ht="15" hidden="0" customHeight="1">
      <x:c r="A42" s="132" t="str">
        <x:v>Variable operating cost</x:v>
      </x:c>
      <x:c r="B42" s="132" t="str">
        <x:v>EUR/total km</x:v>
      </x:c>
      <x:c r="C42" s="55" t="n">
        <x:f>SUM(C38:C41)</x:f>
        <x:v>0.6044186171522989</x:v>
      </x:c>
      <x:c r="D42" s="55" t="n">
        <x:f>SUM(D38:D41)</x:f>
        <x:v>0.5928901803928571</x:v>
      </x:c>
      <x:c r="E42" s="13" t="str">
        <x:v>Fuel + tyres + maintenance + road fees</x:v>
      </x:c>
    </x:row>
    <x:row r="43" ht="15" hidden="0" customHeight="1">
      <x:c r="A43" s="132" t="str">
        <x:v>Variable operating cost</x:v>
      </x:c>
      <x:c r="B43" s="132" t="str">
        <x:v>EUR/loaded km</x:v>
      </x:c>
      <x:c r="C43" s="55" t="n">
        <x:f>IFERROR(C42/C8,0)</x:f>
        <x:v>0.7085798559815931</x:v>
      </x:c>
      <x:c r="D43" s="55" t="n">
        <x:f>IFERROR(D42/D8,0)</x:f>
        <x:v>0.736509540860692</x:v>
      </x:c>
      <x:c r="E43" s="13" t="str">
        <x:v>Variable cost per total km / loaded ratio</x:v>
      </x:c>
    </x:row>
    <x:row r="44" ht="15" hidden="0" customHeight="1">
      <x:c r="A44" s="132" t="str">
        <x:v>Annual variable operating cost</x:v>
      </x:c>
      <x:c r="B44" s="132" t="str">
        <x:v>EUR/year</x:v>
      </x:c>
      <x:c r="C44" s="55" t="n">
        <x:f>IFERROR(C42*C3,0)</x:f>
        <x:v>68359.74559992502</x:v>
      </x:c>
      <x:c r="D44" s="55" t="n">
        <x:f>IFERROR(D42*D3,0)</x:f>
        <x:v>58103.2376785</x:v>
      </x:c>
      <x:c r="E44" s="13" t="str">
        <x:v>Variable cost per total km × annual total km</x:v>
      </x:c>
    </x:row>
    <x:row r="45" ht="15" hidden="0" customHeight="1">
      <x:c r="A45" s="132"/>
      <x:c r="B45" s="132"/>
      <x:c r="C45" s="55"/>
      <x:c r="D45" s="55"/>
      <x:c r="E45" s="13"/>
    </x:row>
    <x:row r="46" ht="15" hidden="0" customHeight="1">
      <x:c r="A46" s="35" t="str">
        <x:v>Driver cost block</x:v>
      </x:c>
      <x:c r="B46" s="35"/>
      <x:c r="C46" s="99"/>
      <x:c r="D46" s="99"/>
      <x:c r="E46" s="103"/>
    </x:row>
    <x:row r="47" ht="15" hidden="0" customHeight="1">
      <x:c r="A47" s="132" t="str">
        <x:v>Salary incl. employer taxes</x:v>
      </x:c>
      <x:c r="B47" s="132" t="str">
        <x:v>EUR/year</x:v>
      </x:c>
      <x:c r="C47" s="55" t="n">
        <x:f>IFERROR(C21*12*C24*(1+C22),0)</x:f>
        <x:v>30663.1972416</x:v>
      </x:c>
      <x:c r="D47" s="55" t="n">
        <x:f>IFERROR(D21*12*D24*(1+D22),0)</x:f>
        <x:v>29050.8538425</x:v>
      </x:c>
      <x:c r="E47" s="13" t="str">
        <x:v>Monthly salary × 12 × drivers × (1 + tax rate)</x:v>
      </x:c>
    </x:row>
    <x:row r="48" ht="15" hidden="0" customHeight="1">
      <x:c r="A48" s="132" t="str">
        <x:v>Travel allowance</x:v>
      </x:c>
      <x:c r="B48" s="132" t="str">
        <x:v>EUR/year</x:v>
      </x:c>
      <x:c r="C48" s="55" t="n">
        <x:f>IFERROR(C23*C5*C24,0)</x:f>
        <x:v>8783.396608000001</x:v>
      </x:c>
      <x:c r="D48" s="55" t="n">
        <x:f>IFERROR(D23*D5*D24,0)</x:f>
        <x:v>3848.86173</x:v>
      </x:c>
      <x:c r="E48" s="13" t="str">
        <x:v>Allowance/day × working days × drivers</x:v>
      </x:c>
    </x:row>
    <x:row r="49" ht="15" hidden="0" customHeight="1">
      <x:c r="A49" s="132" t="str">
        <x:v>Total driver cost</x:v>
      </x:c>
      <x:c r="B49" s="132" t="str">
        <x:v>EUR/year</x:v>
      </x:c>
      <x:c r="C49" s="55" t="n">
        <x:f>SUM(C47:C48)</x:f>
        <x:v>39446.5938496</x:v>
      </x:c>
      <x:c r="D49" s="55" t="n">
        <x:f>SUM(D47:D48)</x:f>
        <x:v>32899.7155725</x:v>
      </x:c>
      <x:c r="E49" s="13" t="str">
        <x:v>Salary incl. taxes + allowance</x:v>
      </x:c>
    </x:row>
    <x:row r="50" ht="15" hidden="0" customHeight="1">
      <x:c r="A50" s="132" t="str">
        <x:v>Driver cost per activity hour</x:v>
      </x:c>
      <x:c r="B50" s="132" t="str">
        <x:v>EUR/hour</x:v>
      </x:c>
      <x:c r="C50" s="55" t="n">
        <x:f>IFERROR(C49/C35,0)</x:f>
        <x:v>15.513625199821202</x:v>
      </x:c>
      <x:c r="D50" s="55" t="n">
        <x:f>IFERROR(D49/D35,0)</x:f>
        <x:v>13.94942360504558</x:v>
      </x:c>
      <x:c r="E50" s="13" t="str">
        <x:v>Total driver cost / activity hours</x:v>
      </x:c>
    </x:row>
    <x:row r="51" ht="15" hidden="0" customHeight="1">
      <x:c r="A51" s="132" t="str">
        <x:v>Driver cost per loaded km</x:v>
      </x:c>
      <x:c r="B51" s="132" t="str">
        <x:v>EUR/loaded km</x:v>
      </x:c>
      <x:c r="C51" s="55" t="n">
        <x:f>IFERROR(C49/C31,0)</x:f>
        <x:v>0.4088818871927549</x:v>
      </x:c>
      <x:c r="D51" s="55" t="n">
        <x:f>IFERROR(D49/D31,0)</x:f>
        <x:v>0.41703277440106473</x:v>
      </x:c>
      <x:c r="E51" s="13" t="str">
        <x:v>Total driver cost / loaded km</x:v>
      </x:c>
    </x:row>
    <x:row r="52" ht="15" hidden="0" customHeight="1">
      <x:c r="A52" s="132"/>
      <x:c r="B52" s="132"/>
      <x:c r="C52" s="55"/>
      <x:c r="D52" s="55"/>
      <x:c r="E52" s="13"/>
    </x:row>
    <x:row r="53" ht="15" hidden="0" customHeight="1">
      <x:c r="A53" s="35" t="str">
        <x:v>Fixed cost block</x:v>
      </x:c>
      <x:c r="B53" s="35"/>
      <x:c r="C53" s="99"/>
      <x:c r="D53" s="99"/>
      <x:c r="E53" s="103"/>
    </x:row>
    <x:row r="54" ht="15" hidden="0" customHeight="1">
      <x:c r="A54" s="132" t="str">
        <x:v>Vehicle fixed cost</x:v>
      </x:c>
      <x:c r="B54" s="132" t="str">
        <x:v>EUR/year</x:v>
      </x:c>
      <x:c r="C54" s="55" t="n">
        <x:f>SUM(C16:C20)</x:f>
        <x:v>17176</x:v>
      </x:c>
      <x:c r="D54" s="55" t="n">
        <x:f>SUM(D16:D20)</x:f>
        <x:v>17994</x:v>
      </x:c>
      <x:c r="E54" s="13" t="str">
        <x:v>Tractor + trailer + insurance + taxes</x:v>
      </x:c>
    </x:row>
    <x:row r="55" ht="15" hidden="0" customHeight="1">
      <x:c r="A55" s="132" t="str">
        <x:v>Structural/admin fixed cost</x:v>
      </x:c>
      <x:c r="B55" s="132" t="str">
        <x:v>EUR/year</x:v>
      </x:c>
      <x:c r="C55" s="55" t="n">
        <x:f>SUM(C25:C26)</x:f>
        <x:v>17886</x:v>
      </x:c>
      <x:c r="D55" s="55" t="n">
        <x:f>SUM(D25:D26)</x:f>
        <x:v>17820</x:v>
      </x:c>
      <x:c r="E55" s="13" t="str">
        <x:v>Structural overhead + commercial/admin overhead</x:v>
      </x:c>
    </x:row>
    <x:row r="56" ht="15" hidden="0" customHeight="1">
      <x:c r="A56" s="132" t="str">
        <x:v>Fixed cost before driver</x:v>
      </x:c>
      <x:c r="B56" s="132" t="str">
        <x:v>EUR/year</x:v>
      </x:c>
      <x:c r="C56" s="55" t="n">
        <x:f>SUM(C54:C55)</x:f>
        <x:v>35062</x:v>
      </x:c>
      <x:c r="D56" s="55" t="n">
        <x:f>SUM(D54:D55)</x:f>
        <x:v>35814</x:v>
      </x:c>
      <x:c r="E56" s="13" t="str">
        <x:v>Vehicle fixed + structural/admin fixed</x:v>
      </x:c>
    </x:row>
    <x:row r="57" ht="15" hidden="0" customHeight="1">
      <x:c r="A57" s="132" t="str">
        <x:v>Fixed cost including driver</x:v>
      </x:c>
      <x:c r="B57" s="132" t="str">
        <x:v>EUR/year</x:v>
      </x:c>
      <x:c r="C57" s="55" t="n">
        <x:f>SUM(C49,C56)</x:f>
        <x:v>74508.5938496</x:v>
      </x:c>
      <x:c r="D57" s="55" t="n">
        <x:f>SUM(D49,D56)</x:f>
        <x:v>68713.71557249999</x:v>
      </x:c>
      <x:c r="E57" s="13" t="str">
        <x:v>Fixed before driver + driver cost</x:v>
      </x:c>
    </x:row>
    <x:row r="58" ht="15" hidden="0" customHeight="1">
      <x:c r="A58" s="132"/>
      <x:c r="B58" s="132"/>
      <x:c r="C58" s="55"/>
      <x:c r="D58" s="55"/>
      <x:c r="E58" s="13"/>
    </x:row>
    <x:row r="59" ht="15" hidden="0" customHeight="1">
      <x:c r="A59" s="35" t="str">
        <x:v>Break-even outputs</x:v>
      </x:c>
      <x:c r="B59" s="35"/>
      <x:c r="C59" s="99"/>
      <x:c r="D59" s="99"/>
      <x:c r="E59" s="103"/>
    </x:row>
    <x:row r="60" ht="15" hidden="0" customHeight="1">
      <x:c r="A60" s="132" t="str">
        <x:v>Total annual cost</x:v>
      </x:c>
      <x:c r="B60" s="132" t="str">
        <x:v>EUR/year</x:v>
      </x:c>
      <x:c r="C60" s="84" t="n">
        <x:f>SUM(C44,C57)</x:f>
        <x:v>142868.33944952502</x:v>
      </x:c>
      <x:c r="D60" s="84" t="n">
        <x:f>SUM(D44,D57)</x:f>
        <x:v>126816.953251</x:v>
      </x:c>
      <x:c r="E60" s="13" t="str">
        <x:v>Variable cost + fixed cost including driver</x:v>
      </x:c>
    </x:row>
    <x:row r="61" ht="15" hidden="0" customHeight="1">
      <x:c r="A61" s="132" t="str">
        <x:v>Cost per total km</x:v>
      </x:c>
      <x:c r="B61" s="132" t="str">
        <x:v>EUR/total km</x:v>
      </x:c>
      <x:c r="C61" s="84" t="n">
        <x:f>IFERROR(C60/C3,0)</x:f>
        <x:v>1.2632037086606986</x:v>
      </x:c>
      <x:c r="D61" s="84" t="n">
        <x:f>IFERROR(D60/D3,0)</x:f>
        <x:v>1.294050543377551</x:v>
      </x:c>
      <x:c r="E61" s="13" t="str">
        <x:v>Total annual cost / annual total km</x:v>
      </x:c>
    </x:row>
    <x:row r="62" ht="15" hidden="0" customHeight="1">
      <x:c r="A62" s="132" t="str">
        <x:v>Break-even price</x:v>
      </x:c>
      <x:c r="B62" s="132" t="str">
        <x:v>EUR/loaded km</x:v>
      </x:c>
      <x:c r="C62" s="68" t="n">
        <x:f>IFERROR(C60/C31,0)</x:f>
        <x:v>1.480895320821452</x:v>
      </x:c>
      <x:c r="D62" s="68" t="n">
        <x:f>IFERROR(D60/D31,0)</x:f>
        <x:v>1.6075162029534795</x:v>
      </x:c>
      <x:c r="E62" s="13" t="str">
        <x:v>Total annual cost / loaded km</x:v>
      </x:c>
    </x:row>
    <x:row r="63" ht="15" hidden="0" customHeight="1">
      <x:c r="A63" s="132" t="str">
        <x:v>Required price for target EBIT margin</x:v>
      </x:c>
      <x:c r="B63" s="132" t="str">
        <x:v>EUR/loaded km</x:v>
      </x:c>
      <x:c r="C63" s="68" t="n">
        <x:f>IFERROR(C62/(1-C27),0)</x:f>
        <x:v>1.6454392453571687</x:v>
      </x:c>
      <x:c r="D63" s="68" t="n">
        <x:f>IFERROR(D62/(1-D27),0)</x:f>
        <x:v>1.786129114392755</x:v>
      </x:c>
      <x:c r="E63" s="13" t="str">
        <x:v>Break-even price / (1 - target margin)</x:v>
      </x:c>
    </x:row>
    <x:row r="64" ht="15" hidden="0" customHeight="1">
      <x:c r="A64" s="132" t="str">
        <x:v>Annual revenue at selected rate</x:v>
      </x:c>
      <x:c r="B64" s="132" t="str">
        <x:v>EUR/year</x:v>
      </x:c>
      <x:c r="C64" s="41" t="n">
        <x:f>IFERROR(C28*C31,0)</x:f>
        <x:v>160726.88188071563</x:v>
      </x:c>
      <x:c r="D64" s="41" t="n">
        <x:f>IFERROR(D28*D31,0)</x:f>
        <x:v>142669.072407375</x:v>
      </x:c>
      <x:c r="E64" s="13" t="str">
        <x:v>Selected customer rate × loaded revenue km</x:v>
      </x:c>
    </x:row>
    <x:row r="65" ht="15" hidden="0" customHeight="1">
      <x:c r="A65" s="132" t="str">
        <x:v>EBIT at selected rate</x:v>
      </x:c>
      <x:c r="B65" s="132" t="str">
        <x:v>EUR/year</x:v>
      </x:c>
      <x:c r="C65" s="41" t="n">
        <x:f>C64-C60</x:f>
        <x:v>17858.54243119061</x:v>
      </x:c>
      <x:c r="D65" s="41" t="n">
        <x:f>D64-D60</x:f>
        <x:v>15852.119156375004</x:v>
      </x:c>
      <x:c r="E65" s="13" t="str">
        <x:v>Revenue - total annual cost</x:v>
      </x:c>
    </x:row>
    <x:row r="66" ht="15" hidden="0" customHeight="1">
      <x:c r="A66" s="132" t="str">
        <x:v>EBIT margin at selected rate</x:v>
      </x:c>
      <x:c r="B66" s="132" t="str">
        <x:v>% revenue</x:v>
      </x:c>
      <x:c r="C66" s="70" t="n">
        <x:f>IFERROR(C65/C64,0)</x:f>
        <x:v>0.11111111111111101</x:v>
      </x:c>
      <x:c r="D66" s="70" t="n">
        <x:f>IFERROR(D65/D64,0)</x:f>
        <x:v>0.11111111111111113</x:v>
      </x:c>
      <x:c r="E66" s="13" t="str">
        <x:v>EBIT / revenue</x:v>
      </x:c>
    </x:row>
    <x:row r="67" ht="15" hidden="0" customHeight="1">
      <x:c r="A67" s="132" t="str">
        <x:v>Break-even loaded km at selected rate</x:v>
      </x:c>
      <x:c r="B67" s="132" t="str">
        <x:v>km/year</x:v>
      </x:c>
      <x:c r="C67" s="70" t="n">
        <x:f>IFERROR(IF(C28&lt;=C43,"Rate below variable cost",C57/(C28-C43)),0)</x:f>
        <x:v>77821.6660715005</x:v>
      </x:c>
      <x:c r="D67" s="70" t="n">
        <x:f>IFERROR(IF(D28&lt;=D43,"Rate below variable cost",D57/(D28-D43)),0)</x:f>
        <x:v>64101.83307353534</x:v>
      </x:c>
      <x:c r="E67" s="13" t="str">
        <x:v>Fixed cost / (selected rate - variable loaded-km cost)</x:v>
      </x:c>
    </x:row>
    <x:row r="68" ht="15" hidden="0" customHeight="1">
      <x:c r="A68" s="132" t="str">
        <x:v>Break-even total km at selected rate</x:v>
      </x:c>
      <x:c r="B68" s="132" t="str">
        <x:v>km/year</x:v>
      </x:c>
      <x:c r="C68" s="70" t="n">
        <x:f>IFERROR(IF(ISNUMBER(C67),C67/C8,""),"")</x:f>
        <x:v>91232.90278018816</x:v>
      </x:c>
      <x:c r="D68" s="70" t="n">
        <x:f>IFERROR(IF(ISNUMBER(D67),D67/D8,""),"")</x:f>
        <x:v>79629.60630252837</x:v>
      </x:c>
      <x:c r="E68" s="13" t="str">
        <x:v>Break-even loaded km / loaded ratio</x:v>
      </x:c>
    </x:row>
    <x:row r="69" ht="26.399999618530273" hidden="0" customHeight="1">
      <x:c r="A69" s="132" t="str">
        <x:v>Break-even utilisation of planned loaded km</x:v>
      </x:c>
      <x:c r="B69" s="132" t="str">
        <x:v>%</x:v>
      </x:c>
      <x:c r="C69" s="70" t="n">
        <x:f>IFERROR(IF(ISNUMBER(C67),C67/C31,""),"")</x:f>
        <x:v>0.8066569653420702</x:v>
      </x:c>
      <x:c r="D69" s="70" t="n">
        <x:f>IFERROR(IF(ISNUMBER(D67),D67/D31,""),"")</x:f>
        <x:v>0.8125470030870242</x:v>
      </x:c>
      <x:c r="E69" s="13" t="str">
        <x:v>Break-even loaded km / loaded km</x:v>
      </x:c>
    </x:row>
    <x:row r="70" ht="15" hidden="0" customHeight="1">
      <x:c r="A70" s="132" t="str">
        <x:v>Required loaded ratio at planned total km</x:v>
      </x:c>
      <x:c r="B70" s="132" t="str">
        <x:v>%</x:v>
      </x:c>
      <x:c r="C70" s="70" t="n">
        <x:f>IFERROR(C60/(C28*C3),0)</x:f>
        <x:v>0.7582222222222222</x:v>
      </x:c>
      <x:c r="D70" s="70" t="n">
        <x:f>IFERROR(D60/(D28*D3),0)</x:f>
        <x:v>0.7155555555555555</x:v>
      </x:c>
      <x:c r="E70" s="13" t="str">
        <x:v>Total cost / (selected rate × total km)</x:v>
      </x:c>
    </x:row>
    <x:row r="71" ht="15" hidden="0" customHeight="1">
      <x:c r="A71" s="132" t="str">
        <x:v>Loaded-km safety margin</x:v>
      </x:c>
      <x:c r="B71" s="132" t="str">
        <x:v>km/year</x:v>
      </x:c>
      <x:c r="C71" s="68" t="n">
        <x:f>IFERROR(IF(ISNUMBER(C67),C31-C67,""),"")</x:f>
        <x:v>18652.63392849952</x:v>
      </x:c>
      <x:c r="D71" s="68" t="n">
        <x:f>IFERROR(IF(ISNUMBER(D67),D31-D67,""),"")</x:f>
        <x:v>14788.166926464663</x:v>
      </x:c>
      <x:c r="E71" s="13" t="str">
        <x:v>Loaded km - break-even loaded km</x:v>
      </x:c>
    </x:row>
    <x:row r="72" ht="15" hidden="0" customHeight="1">
      <x:c r="A72" s="132" t="str">
        <x:v>Safety margin</x:v>
      </x:c>
      <x:c r="B72" s="132" t="str">
        <x:v>%</x:v>
      </x:c>
      <x:c r="C72" s="68" t="n">
        <x:f>IFERROR(IF(ISNUMBER(C71),C71/C31,""),"")</x:f>
        <x:v>0.1933430346579298</x:v>
      </x:c>
      <x:c r="D72" s="68" t="n">
        <x:f>IFERROR(IF(ISNUMBER(D71),D71/D31,""),"")</x:f>
        <x:v>0.18745299691297582</x:v>
      </x:c>
      <x:c r="E72" s="13" t="str">
        <x:v>Safety margin / loaded km</x:v>
      </x:c>
    </x:row>
    <x:row r="73" ht="15" hidden="0" customHeight="1">
      <x:c r="A73" s="132" t="str">
        <x:v>Rate variance vs break-even</x:v>
      </x:c>
      <x:c r="B73" s="132" t="str">
        <x:v>EUR/loaded km</x:v>
      </x:c>
      <x:c r="C73" s="68" t="n">
        <x:f>IFERROR(C28-C62,0)</x:f>
        <x:v>0.18511191510268143</x:v>
      </x:c>
      <x:c r="D73" s="68" t="n">
        <x:f>IFERROR(D28-D62,0)</x:f>
        <x:v>0.20093952536918502</x:v>
      </x:c>
      <x:c r="E73" s="13" t="str">
        <x:v>Selected customer rate - break-even price</x:v>
      </x:c>
    </x:row>
    <x:row r="74" ht="15" hidden="0" customHeight="1">
      <x:c r="A74" s="132" t="str">
        <x:v>Profit contribution</x:v>
      </x:c>
      <x:c r="B74" s="132" t="str">
        <x:v>EUR/loaded km</x:v>
      </x:c>
      <x:c r="C74" s="68" t="n">
        <x:f>IFERROR(C28-C62,0)</x:f>
        <x:v>0.18511191510268143</x:v>
      </x:c>
      <x:c r="D74" s="68" t="n">
        <x:f>IFERROR(D28-D62,0)</x:f>
        <x:v>0.20093952536918502</x:v>
      </x:c>
      <x:c r="E74" s="13" t="str">
        <x:v>Selected customer rate - break-even price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4" hidden="0" customWidth="1"/>
    <x:col min="11" max="11" width="12" hidden="0" customWidth="1"/>
    <x:col min="12" max="12" width="18" hidden="0" customWidth="1"/>
    <x:col min="13" max="13" width="18" hidden="0" customWidth="1"/>
  </x:cols>
  <x:sheetData>
    <x:row r="1" ht="76.80000305175781" hidden="0" customHeight="1">
      <x:c r="A1" s="5" t="str">
        <x:v>Customer pricing layer after break-even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15" hidden="0" customHeight="1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26.399999618530273" hidden="0" customHeight="1">
      <x:c r="A3" s="22" t="str">
        <x:v>Markup over break-even</x:v>
      </x:c>
      <x:c r="B3" s="22" t="str">
        <x:v>LD rate €/loaded km</x:v>
      </x:c>
      <x:c r="C3" s="22" t="str">
        <x:v>LD annual revenue</x:v>
      </x:c>
      <x:c r="D3" s="22" t="str">
        <x:v>LD EBIT</x:v>
      </x:c>
      <x:c r="E3" s="22" t="str">
        <x:v>LD EBIT margin</x:v>
      </x:c>
      <x:c r="F3" s="22" t="str">
        <x:v>Regional rate €/loaded km</x:v>
      </x:c>
      <x:c r="G3" s="22" t="str">
        <x:v>Regional annual revenue</x:v>
      </x:c>
      <x:c r="H3" s="22" t="str">
        <x:v>Regional EBIT</x:v>
      </x:c>
      <x:c r="I3" s="22" t="str">
        <x:v>Regional EBIT margin</x:v>
      </x:c>
      <x:c r="J3" s="132"/>
      <x:c r="K3" s="22" t="str">
        <x:v>Markup</x:v>
      </x:c>
      <x:c r="L3" s="22" t="str">
        <x:v>LD final rate</x:v>
      </x:c>
      <x:c r="M3" s="22" t="str">
        <x:v>Regional final rate</x:v>
      </x:c>
    </x:row>
    <x:row r="4" ht="15" hidden="0" customHeight="1">
      <x:c r="A4" s="108" t="n">
        <x:v>0</x:v>
      </x:c>
      <x:c r="B4" s="110" t="n">
        <x:f>Engine!$C$62*(1+$A4)</x:f>
        <x:v>1.480895320821452</x:v>
      </x:c>
      <x:c r="C4" s="82" t="n">
        <x:f>B4*Engine!$C$31</x:f>
        <x:v>142868.33944952502</x:v>
      </x:c>
      <x:c r="D4" s="82" t="n">
        <x:f>C4-Engine!$C$60</x:f>
        <x:v>0</x:v>
      </x:c>
      <x:c r="E4" s="80" t="n">
        <x:f>IFERROR(D4/C4,0)</x:f>
        <x:v>0</x:v>
      </x:c>
      <x:c r="F4" s="110" t="n">
        <x:f>Engine!$D$62*(1+$A4)</x:f>
        <x:v>1.6075162029534795</x:v>
      </x:c>
      <x:c r="G4" s="82" t="n">
        <x:f>F4*Engine!$D$31</x:f>
        <x:v>126816.953251</x:v>
      </x:c>
      <x:c r="H4" s="82" t="n">
        <x:f>G4-Engine!$D$60</x:f>
        <x:v>0</x:v>
      </x:c>
      <x:c r="I4" s="80" t="n">
        <x:f>IFERROR(H4/G4,0)</x:f>
        <x:v>0</x:v>
      </x:c>
      <x:c r="J4" s="132"/>
      <x:c r="K4" s="132" t="n">
        <x:f>A4</x:f>
        <x:v>0</x:v>
      </x:c>
      <x:c r="L4" s="55" t="n">
        <x:f>B4</x:f>
        <x:v>1.480895320821452</x:v>
      </x:c>
      <x:c r="M4" s="55" t="n">
        <x:f>F4</x:f>
        <x:v>1.6075162029534795</x:v>
      </x:c>
    </x:row>
    <x:row r="5" ht="15" hidden="0" customHeight="1">
      <x:c r="A5" s="108" t="n">
        <x:v>0.05</x:v>
      </x:c>
      <x:c r="B5" s="110" t="n">
        <x:f>Engine!$C$62*(1+$A5)</x:f>
        <x:v>1.5549400868625245</x:v>
      </x:c>
      <x:c r="C5" s="82" t="n">
        <x:f>B5*Engine!$C$31</x:f>
        <x:v>150011.7564220013</x:v>
      </x:c>
      <x:c r="D5" s="82" t="n">
        <x:f>C5-Engine!$C$60</x:f>
        <x:v>7143.416972476261</x:v>
      </x:c>
      <x:c r="E5" s="80" t="n">
        <x:f>IFERROR(D5/C5,0)</x:f>
        <x:v>0.047619047619047686</x:v>
      </x:c>
      <x:c r="F5" s="110" t="n">
        <x:f>Engine!$D$62*(1+$A5)</x:f>
        <x:v>1.6878920131011537</x:v>
      </x:c>
      <x:c r="G5" s="82" t="n">
        <x:f>F5*Engine!$D$31</x:f>
        <x:v>133157.80091355002</x:v>
      </x:c>
      <x:c r="H5" s="82" t="n">
        <x:f>G5-Engine!$D$60</x:f>
        <x:v>6340.847662550019</x:v>
      </x:c>
      <x:c r="I5" s="80" t="n">
        <x:f>IFERROR(H5/G5,0)</x:f>
        <x:v>0.047619047619047755</x:v>
      </x:c>
      <x:c r="J5" s="132"/>
      <x:c r="K5" s="132" t="n">
        <x:f>A5</x:f>
        <x:v>0.05</x:v>
      </x:c>
      <x:c r="L5" s="55" t="n">
        <x:f>B5</x:f>
        <x:v>1.5549400868625245</x:v>
      </x:c>
      <x:c r="M5" s="55" t="n">
        <x:f>F5</x:f>
        <x:v>1.6878920131011537</x:v>
      </x:c>
    </x:row>
    <x:row r="6" ht="15" hidden="0" customHeight="1">
      <x:c r="A6" s="108" t="n">
        <x:v>0.1</x:v>
      </x:c>
      <x:c r="B6" s="110" t="n">
        <x:f>Engine!$C$62*(1+$A6)</x:f>
        <x:v>1.6289848529035973</x:v>
      </x:c>
      <x:c r="C6" s="82" t="n">
        <x:f>B6*Engine!$C$31</x:f>
        <x:v>157155.17339447755</x:v>
      </x:c>
      <x:c r="D6" s="82" t="n">
        <x:f>C6-Engine!$C$60</x:f>
        <x:v>14286.833944952523</x:v>
      </x:c>
      <x:c r="E6" s="80" t="n">
        <x:f>IFERROR(D6/C6,0)</x:f>
        <x:v>0.09090909090909102</x:v>
      </x:c>
      <x:c r="F6" s="110" t="n">
        <x:f>Engine!$D$62*(1+$A6)</x:f>
        <x:v>1.7682678232488276</x:v>
      </x:c>
      <x:c r="G6" s="82" t="n">
        <x:f>F6*Engine!$D$31</x:f>
        <x:v>139498.6485761</x:v>
      </x:c>
      <x:c r="H6" s="82" t="n">
        <x:f>G6-Engine!$D$60</x:f>
        <x:v>12681.695325100009</x:v>
      </x:c>
      <x:c r="I6" s="80" t="n">
        <x:f>IFERROR(H6/G6,0)</x:f>
        <x:v>0.09090909090909097</x:v>
      </x:c>
      <x:c r="J6" s="132"/>
      <x:c r="K6" s="132" t="n">
        <x:f>A6</x:f>
        <x:v>0.1</x:v>
      </x:c>
      <x:c r="L6" s="55" t="n">
        <x:f>B6</x:f>
        <x:v>1.6289848529035973</x:v>
      </x:c>
      <x:c r="M6" s="55" t="n">
        <x:f>F6</x:f>
        <x:v>1.7682678232488276</x:v>
      </x:c>
    </x:row>
    <x:row r="7" ht="15" hidden="0" customHeight="1">
      <x:c r="A7" s="108" t="n">
        <x:v>0.125</x:v>
      </x:c>
      <x:c r="B7" s="110" t="n">
        <x:f>Engine!$C$62*(1+$A7)</x:f>
        <x:v>1.6660072359241334</x:v>
      </x:c>
      <x:c r="C7" s="82" t="n">
        <x:f>B7*Engine!$C$31</x:f>
        <x:v>160726.88188071563</x:v>
      </x:c>
      <x:c r="D7" s="82" t="n">
        <x:f>C7-Engine!$C$60</x:f>
        <x:v>17858.54243119061</x:v>
      </x:c>
      <x:c r="E7" s="80" t="n">
        <x:f>IFERROR(D7/C7,0)</x:f>
        <x:v>0.11111111111111101</x:v>
      </x:c>
      <x:c r="F7" s="110" t="n">
        <x:f>Engine!$D$62*(1+$A7)</x:f>
        <x:v>1.8084557283226645</x:v>
      </x:c>
      <x:c r="G7" s="82" t="n">
        <x:f>F7*Engine!$D$31</x:f>
        <x:v>142669.072407375</x:v>
      </x:c>
      <x:c r="H7" s="82" t="n">
        <x:f>G7-Engine!$D$60</x:f>
        <x:v>15852.119156375004</x:v>
      </x:c>
      <x:c r="I7" s="80" t="n">
        <x:f>IFERROR(H7/G7,0)</x:f>
        <x:v>0.11111111111111113</x:v>
      </x:c>
      <x:c r="J7" s="132"/>
      <x:c r="K7" s="132" t="n">
        <x:f>A7</x:f>
        <x:v>0.125</x:v>
      </x:c>
      <x:c r="L7" s="55" t="n">
        <x:f>B7</x:f>
        <x:v>1.6660072359241334</x:v>
      </x:c>
      <x:c r="M7" s="55" t="n">
        <x:f>F7</x:f>
        <x:v>1.8084557283226645</x:v>
      </x:c>
    </x:row>
    <x:row r="8" ht="15" hidden="0" customHeight="1">
      <x:c r="A8" s="108" t="n">
        <x:v>0.15</x:v>
      </x:c>
      <x:c r="B8" s="110" t="n">
        <x:f>Engine!$C$62*(1+$A8)</x:f>
        <x:v>1.7030296189446696</x:v>
      </x:c>
      <x:c r="C8" s="82" t="n">
        <x:f>B8*Engine!$C$31</x:f>
        <x:v>164298.59036695378</x:v>
      </x:c>
      <x:c r="D8" s="82" t="n">
        <x:f>C8-Engine!$C$60</x:f>
        <x:v>21430.250917428755</x:v>
      </x:c>
      <x:c r="E8" s="80" t="n">
        <x:f>IFERROR(D8/C8,0)</x:f>
        <x:v>0.13043478260869565</x:v>
      </x:c>
      <x:c r="F8" s="110" t="n">
        <x:f>Engine!$D$62*(1+$A8)</x:f>
        <x:v>1.8486436333965013</x:v>
      </x:c>
      <x:c r="G8" s="82" t="n">
        <x:f>F8*Engine!$D$31</x:f>
        <x:v>145839.49623865</x:v>
      </x:c>
      <x:c r="H8" s="82" t="n">
        <x:f>G8-Engine!$D$60</x:f>
        <x:v>19022.54298765</x:v>
      </x:c>
      <x:c r="I8" s="80" t="n">
        <x:f>IFERROR(H8/G8,0)</x:f>
        <x:v>0.13043478260869565</x:v>
      </x:c>
      <x:c r="J8" s="132"/>
      <x:c r="K8" s="132" t="n">
        <x:f>A8</x:f>
        <x:v>0.15</x:v>
      </x:c>
      <x:c r="L8" s="55" t="n">
        <x:f>B8</x:f>
        <x:v>1.7030296189446696</x:v>
      </x:c>
      <x:c r="M8" s="55" t="n">
        <x:f>F8</x:f>
        <x:v>1.8486436333965013</x:v>
      </x:c>
    </x:row>
    <x:row r="9" ht="15" hidden="0" customHeight="1">
      <x:c r="A9" s="108" t="n">
        <x:v>0.2</x:v>
      </x:c>
      <x:c r="B9" s="110" t="n">
        <x:f>Engine!$C$62*(1+$A9)</x:f>
        <x:v>1.7770743849857422</x:v>
      </x:c>
      <x:c r="C9" s="82" t="n">
        <x:f>B9*Engine!$C$31</x:f>
        <x:v>171442.00733943</x:v>
      </x:c>
      <x:c r="D9" s="82" t="n">
        <x:f>C9-Engine!$C$60</x:f>
        <x:v>28573.667889904988</x:v>
      </x:c>
      <x:c r="E9" s="80" t="n">
        <x:f>IFERROR(D9/C9,0)</x:f>
        <x:v>0.16666666666666657</x:v>
      </x:c>
      <x:c r="F9" s="110" t="n">
        <x:f>Engine!$D$62*(1+$A9)</x:f>
        <x:v>1.9290194435441754</x:v>
      </x:c>
      <x:c r="G9" s="82" t="n">
        <x:f>F9*Engine!$D$31</x:f>
        <x:v>152180.3439012</x:v>
      </x:c>
      <x:c r="H9" s="82" t="n">
        <x:f>G9-Engine!$D$60</x:f>
        <x:v>25363.390650199988</x:v>
      </x:c>
      <x:c r="I9" s="80" t="n">
        <x:f>IFERROR(H9/G9,0)</x:f>
        <x:v>0.1666666666666666</x:v>
      </x:c>
      <x:c r="J9" s="132"/>
      <x:c r="K9" s="132" t="n">
        <x:f>A9</x:f>
        <x:v>0.2</x:v>
      </x:c>
      <x:c r="L9" s="55" t="n">
        <x:f>B9</x:f>
        <x:v>1.7770743849857422</x:v>
      </x:c>
      <x:c r="M9" s="55" t="n">
        <x:f>F9</x:f>
        <x:v>1.9290194435441754</x:v>
      </x:c>
    </x:row>
    <x:row r="10" ht="15" hidden="0" customHeight="1">
      <x:c r="A10" s="108" t="n">
        <x:v>0.25</x:v>
      </x:c>
      <x:c r="B10" s="110" t="n">
        <x:f>Engine!$C$62*(1+$A10)</x:f>
        <x:v>1.8511191510268148</x:v>
      </x:c>
      <x:c r="C10" s="82" t="n">
        <x:f>B10*Engine!$C$31</x:f>
        <x:v>178585.42431190627</x:v>
      </x:c>
      <x:c r="D10" s="82" t="n">
        <x:f>C10-Engine!$C$60</x:f>
        <x:v>35717.08486238125</x:v>
      </x:c>
      <x:c r="E10" s="80" t="n">
        <x:f>IFERROR(D10/C10,0)</x:f>
        <x:v>0.19999999999999996</x:v>
      </x:c>
      <x:c r="F10" s="110" t="n">
        <x:f>Engine!$D$62*(1+$A10)</x:f>
        <x:v>2.0093952536918493</x:v>
      </x:c>
      <x:c r="G10" s="82" t="n">
        <x:f>F10*Engine!$D$31</x:f>
        <x:v>158521.19156375</x:v>
      </x:c>
      <x:c r="H10" s="82" t="n">
        <x:f>G10-Engine!$D$60</x:f>
        <x:v>31704.238312750007</x:v>
      </x:c>
      <x:c r="I10" s="80" t="n">
        <x:f>IFERROR(H10/G10,0)</x:f>
        <x:v>0.20000000000000004</x:v>
      </x:c>
      <x:c r="J10" s="132"/>
      <x:c r="K10" s="132" t="n">
        <x:f>A10</x:f>
        <x:v>0.25</x:v>
      </x:c>
      <x:c r="L10" s="55" t="n">
        <x:f>B10</x:f>
        <x:v>1.8511191510268148</x:v>
      </x:c>
      <x:c r="M10" s="55" t="n">
        <x:f>F10</x:f>
        <x:v>2.0093952536918493</x:v>
      </x:c>
    </x:row>
    <x:row r="11" ht="15" hidden="0" customHeight="1">
      <x:c r="A11" s="108" t="n">
        <x:v>0.3</x:v>
      </x:c>
      <x:c r="B11" s="110" t="n">
        <x:f>Engine!$C$62*(1+$A11)</x:f>
        <x:v>1.9251639170678876</x:v>
      </x:c>
      <x:c r="C11" s="82" t="n">
        <x:f>B11*Engine!$C$31</x:f>
        <x:v>185728.84128438254</x:v>
      </x:c>
      <x:c r="D11" s="82" t="n">
        <x:f>C11-Engine!$C$60</x:f>
        <x:v>42860.50183485751</x:v>
      </x:c>
      <x:c r="E11" s="80" t="n">
        <x:f>IFERROR(D11/C11,0)</x:f>
        <x:v>0.23076923076923078</x:v>
      </x:c>
      <x:c r="F11" s="110" t="n">
        <x:f>Engine!$D$62*(1+$A11)</x:f>
        <x:v>2.0897710638395233</x:v>
      </x:c>
      <x:c r="G11" s="82" t="n">
        <x:f>F11*Engine!$D$31</x:f>
        <x:v>164862.0392263</x:v>
      </x:c>
      <x:c r="H11" s="82" t="n">
        <x:f>G11-Engine!$D$60</x:f>
        <x:v>38045.0859753</x:v>
      </x:c>
      <x:c r="I11" s="80" t="n">
        <x:f>IFERROR(H11/G11,0)</x:f>
        <x:v>0.23076923076923075</x:v>
      </x:c>
      <x:c r="J11" s="132"/>
      <x:c r="K11" s="132" t="n">
        <x:f>A11</x:f>
        <x:v>0.3</x:v>
      </x:c>
      <x:c r="L11" s="55" t="n">
        <x:f>B11</x:f>
        <x:v>1.9251639170678876</x:v>
      </x:c>
      <x:c r="M11" s="55" t="n">
        <x:f>F11</x:f>
        <x:v>2.0897710638395233</x:v>
      </x:c>
    </x:row>
    <x:row r="12" ht="15" hidden="0" customHeight="1">
      <x:c r="A12" s="108" t="n">
        <x:v>0.35</x:v>
      </x:c>
      <x:c r="B12" s="110" t="n">
        <x:f>Engine!$C$62*(1+$A12)</x:f>
        <x:v>1.9992086831089602</x:v>
      </x:c>
      <x:c r="C12" s="82" t="n">
        <x:f>B12*Engine!$C$31</x:f>
        <x:v>192872.2582568588</x:v>
      </x:c>
      <x:c r="D12" s="82" t="n">
        <x:f>C12-Engine!$C$60</x:f>
        <x:v>50003.91880733377</x:v>
      </x:c>
      <x:c r="E12" s="80" t="n">
        <x:f>IFERROR(D12/C12,0)</x:f>
        <x:v>0.2592592592592593</x:v>
      </x:c>
      <x:c r="F12" s="110" t="n">
        <x:f>Engine!$D$62*(1+$A12)</x:f>
        <x:v>2.1701468739871976</x:v>
      </x:c>
      <x:c r="G12" s="82" t="n">
        <x:f>F12*Engine!$D$31</x:f>
        <x:v>171202.88688885001</x:v>
      </x:c>
      <x:c r="H12" s="82" t="n">
        <x:f>G12-Engine!$D$60</x:f>
        <x:v>44385.933637850016</x:v>
      </x:c>
      <x:c r="I12" s="80" t="n">
        <x:f>IFERROR(H12/G12,0)</x:f>
        <x:v>0.25925925925925936</x:v>
      </x:c>
      <x:c r="J12" s="132"/>
      <x:c r="K12" s="132" t="n">
        <x:f>A12</x:f>
        <x:v>0.35</x:v>
      </x:c>
      <x:c r="L12" s="55" t="n">
        <x:f>B12</x:f>
        <x:v>1.9992086831089602</x:v>
      </x:c>
      <x:c r="M12" s="55" t="n">
        <x:f>F12</x:f>
        <x:v>2.1701468739871976</x:v>
      </x:c>
    </x:row>
    <x:row r="13" ht="15" hidden="0" customHeight="1">
      <x:c r="A13" s="108" t="n">
        <x:v>0.4</x:v>
      </x:c>
      <x:c r="B13" s="110" t="n">
        <x:f>Engine!$C$62*(1+$A13)</x:f>
        <x:v>2.0732534491500325</x:v>
      </x:c>
      <x:c r="C13" s="82" t="n">
        <x:f>B13*Engine!$C$31</x:f>
        <x:v>200015.67522933503</x:v>
      </x:c>
      <x:c r="D13" s="82" t="n">
        <x:f>C13-Engine!$C$60</x:f>
        <x:v>57147.335779810004</x:v>
      </x:c>
      <x:c r="E13" s="80" t="n">
        <x:f>IFERROR(D13/C13,0)</x:f>
        <x:v>0.2857142857142857</x:v>
      </x:c>
      <x:c r="F13" s="110" t="n">
        <x:f>Engine!$D$62*(1+$A13)</x:f>
        <x:v>2.250522684134871</x:v>
      </x:c>
      <x:c r="G13" s="82" t="n">
        <x:f>F13*Engine!$D$31</x:f>
        <x:v>177543.73455139998</x:v>
      </x:c>
      <x:c r="H13" s="82" t="n">
        <x:f>G13-Engine!$D$60</x:f>
        <x:v>50726.781300399976</x:v>
      </x:c>
      <x:c r="I13" s="80" t="n">
        <x:f>IFERROR(H13/G13,0)</x:f>
        <x:v>0.28571428571428564</x:v>
      </x:c>
      <x:c r="J13" s="132"/>
      <x:c r="K13" s="132" t="n">
        <x:f>A13</x:f>
        <x:v>0.4</x:v>
      </x:c>
      <x:c r="L13" s="55" t="n">
        <x:f>B13</x:f>
        <x:v>2.0732534491500325</x:v>
      </x:c>
      <x:c r="M13" s="55" t="n">
        <x:f>F13</x:f>
        <x:v>2.250522684134871</x:v>
      </x:c>
    </x:row>
    <x:row r="14" ht="15" hidden="0" customHeight="1">
      <x:c r="A14" s="132"/>
      <x:c r="B14" s="132"/>
      <x:c r="C14" s="132"/>
      <x:c r="D14" s="132"/>
      <x:c r="E14" s="132"/>
      <x:c r="F14" s="132"/>
      <x:c r="G14" s="132"/>
      <x:c r="H14" s="132"/>
      <x:c r="I14" s="132"/>
      <x:c r="J14" s="132"/>
      <x:c r="K14" s="132"/>
      <x:c r="L14" s="132"/>
      <x:c r="M14" s="132"/>
    </x:row>
    <x:row r="15" ht="26.399999618530273" hidden="0" customHeight="1">
      <x:c r="A15" s="35" t="str">
        <x:v>Selected pricing assumption</x:v>
      </x:c>
      <x:c r="B15" s="35"/>
      <x:c r="C15" s="35" t="str">
        <x:v>Long Distance 40t</x:v>
      </x:c>
      <x:c r="D15" s="35" t="str">
        <x:v>Regional 40t</x:v>
      </x:c>
      <x:c r="E15" s="132"/>
      <x:c r="F15" s="132"/>
      <x:c r="G15" s="132"/>
      <x:c r="H15" s="132"/>
      <x:c r="I15" s="132"/>
      <x:c r="J15" s="132"/>
      <x:c r="K15" s="132"/>
      <x:c r="L15" s="132"/>
      <x:c r="M15" s="132"/>
    </x:row>
    <x:row r="16" ht="26.399999618530273" hidden="0" customHeight="1">
      <x:c r="A16" s="132" t="str">
        <x:v>Selected markup over break-even</x:v>
      </x:c>
      <x:c r="B16" s="132" t="str">
        <x:v>%</x:v>
      </x:c>
      <x:c r="C16" s="108" t="n">
        <x:v>0.125</x:v>
      </x:c>
      <x:c r="D16" s="108" t="n">
        <x:v>0.125</x:v>
      </x:c>
      <x:c r="E16" s="132"/>
      <x:c r="F16" s="132"/>
      <x:c r="G16" s="132"/>
      <x:c r="H16" s="132"/>
      <x:c r="I16" s="132"/>
      <x:c r="J16" s="132"/>
      <x:c r="K16" s="132"/>
      <x:c r="L16" s="132"/>
      <x:c r="M16" s="132"/>
    </x:row>
    <x:row r="17" ht="15" hidden="0" customHeight="1">
      <x:c r="A17" s="132" t="str">
        <x:v>Break-even price</x:v>
      </x:c>
      <x:c r="B17" s="132" t="str">
        <x:v>EUR/loaded km</x:v>
      </x:c>
      <x:c r="C17" s="110" t="n">
        <x:f>Engine!$C$62</x:f>
        <x:v>1.480895320821452</x:v>
      </x:c>
      <x:c r="D17" s="110" t="n">
        <x:f>Engine!$D$62</x:f>
        <x:v>1.6075162029534795</x:v>
      </x:c>
      <x:c r="E17" s="132"/>
      <x:c r="F17" s="132"/>
      <x:c r="G17" s="132"/>
      <x:c r="H17" s="132"/>
      <x:c r="I17" s="132"/>
      <x:c r="J17" s="132"/>
      <x:c r="K17" s="132"/>
      <x:c r="L17" s="132"/>
      <x:c r="M17" s="132"/>
    </x:row>
    <x:row r="18" ht="26.399999618530273" hidden="0" customHeight="1">
      <x:c r="A18" s="132" t="str">
        <x:v>Final customer rate per loaded km</x:v>
      </x:c>
      <x:c r="B18" s="132" t="str">
        <x:v>EUR/loaded km</x:v>
      </x:c>
      <x:c r="C18" s="68" t="n">
        <x:f>C17*(1+C16)</x:f>
        <x:v>1.6660072359241334</x:v>
      </x:c>
      <x:c r="D18" s="68" t="n">
        <x:f>D17*(1+D16)</x:f>
        <x:v>1.8084557283226645</x:v>
      </x:c>
      <x:c r="E18" s="132"/>
      <x:c r="F18" s="132"/>
      <x:c r="G18" s="132"/>
      <x:c r="H18" s="132"/>
      <x:c r="I18" s="132"/>
      <x:c r="J18" s="132"/>
      <x:c r="K18" s="132"/>
      <x:c r="L18" s="132"/>
      <x:c r="M18" s="132"/>
    </x:row>
    <x:row r="19" ht="26.399999618530273" hidden="0" customHeight="1">
      <x:c r="A19" s="132" t="str">
        <x:v>Annual revenue at final rate</x:v>
      </x:c>
      <x:c r="B19" s="132" t="str">
        <x:v>EUR/year</x:v>
      </x:c>
      <x:c r="C19" s="84" t="n">
        <x:f>C18*Engine!$C$31</x:f>
        <x:v>160726.88188071563</x:v>
      </x:c>
      <x:c r="D19" s="84" t="n">
        <x:f>D18*Engine!$D$31</x:f>
        <x:v>142669.072407375</x:v>
      </x:c>
      <x:c r="E19" s="132"/>
      <x:c r="F19" s="132"/>
      <x:c r="G19" s="132"/>
      <x:c r="H19" s="132"/>
      <x:c r="I19" s="132"/>
      <x:c r="J19" s="132"/>
      <x:c r="K19" s="132"/>
      <x:c r="L19" s="132"/>
      <x:c r="M19" s="132"/>
    </x:row>
    <x:row r="20" ht="15" hidden="0" customHeight="1">
      <x:c r="A20" s="132" t="str">
        <x:v>EBIT at final rate</x:v>
      </x:c>
      <x:c r="B20" s="132" t="str">
        <x:v>EUR/year</x:v>
      </x:c>
      <x:c r="C20" s="84" t="n">
        <x:f>C19-Engine!$C$60</x:f>
        <x:v>17858.54243119061</x:v>
      </x:c>
      <x:c r="D20" s="84" t="n">
        <x:f>D19-Engine!$D$60</x:f>
        <x:v>15852.119156375004</x:v>
      </x:c>
      <x:c r="E20" s="132"/>
      <x:c r="F20" s="132"/>
      <x:c r="G20" s="132"/>
      <x:c r="H20" s="132"/>
      <x:c r="I20" s="132"/>
      <x:c r="J20" s="132"/>
      <x:c r="K20" s="132"/>
      <x:c r="L20" s="132"/>
      <x:c r="M20" s="132"/>
    </x:row>
    <x:row r="21" ht="26.399999618530273" hidden="0" customHeight="1">
      <x:c r="A21" s="132" t="str">
        <x:v>EBIT margin at final rate</x:v>
      </x:c>
      <x:c r="B21" s="132" t="str">
        <x:v>% revenue</x:v>
      </x:c>
      <x:c r="C21" s="70" t="n">
        <x:f>IFERROR(C20/C19,0)</x:f>
        <x:v>0.11111111111111101</x:v>
      </x:c>
      <x:c r="D21" s="70" t="n">
        <x:f>IFERROR(D20/D19,0)</x:f>
        <x:v>0.11111111111111113</x:v>
      </x:c>
      <x:c r="E21" s="132"/>
      <x:c r="F21" s="132"/>
      <x:c r="G21" s="132"/>
      <x:c r="H21" s="132"/>
      <x:c r="I21" s="132"/>
      <x:c r="J21" s="132"/>
      <x:c r="K21" s="132"/>
      <x:c r="L21" s="132"/>
      <x:c r="M21" s="132"/>
    </x:row>
    <x:row r="22" ht="15" hidden="0" customHeight="1">
      <x:c r="A22" s="132"/>
      <x:c r="B22" s="132"/>
      <x:c r="C22" s="80"/>
      <x:c r="D22" s="80"/>
      <x:c r="E22" s="132"/>
      <x:c r="F22" s="132"/>
      <x:c r="G22" s="132"/>
      <x:c r="H22" s="132"/>
      <x:c r="I22" s="132"/>
      <x:c r="J22" s="132"/>
      <x:c r="K22" s="132"/>
      <x:c r="L22" s="132"/>
      <x:c r="M22" s="132"/>
    </x:row>
    <x:row r="23" ht="26.399999618530273" hidden="0" customHeight="1">
      <x:c r="A23" s="35" t="str">
        <x:v>Target margin cross-check</x:v>
      </x:c>
      <x:c r="B23" s="35"/>
      <x:c r="C23" s="112" t="str">
        <x:v>Long Distance 40t</x:v>
      </x:c>
      <x:c r="D23" s="112" t="str">
        <x:v>Regional 40t</x:v>
      </x:c>
      <x:c r="E23" s="132"/>
      <x:c r="F23" s="132"/>
      <x:c r="G23" s="132"/>
      <x:c r="H23" s="132"/>
      <x:c r="I23" s="132"/>
      <x:c r="J23" s="132"/>
      <x:c r="K23" s="132"/>
      <x:c r="L23" s="132"/>
      <x:c r="M23" s="132"/>
    </x:row>
    <x:row r="24" ht="26.399999618530273" hidden="0" customHeight="1">
      <x:c r="A24" s="132" t="str">
        <x:v>Target EBIT margin from Inputs</x:v>
      </x:c>
      <x:c r="B24" s="132" t="str">
        <x:v>% revenue</x:v>
      </x:c>
      <x:c r="C24" s="80" t="n">
        <x:f>Engine!$C$27</x:f>
        <x:v>0.1</x:v>
      </x:c>
      <x:c r="D24" s="80" t="n">
        <x:f>Engine!$D$27</x:f>
        <x:v>0.1</x:v>
      </x:c>
      <x:c r="E24" s="132"/>
      <x:c r="F24" s="132"/>
      <x:c r="G24" s="132"/>
      <x:c r="H24" s="132"/>
      <x:c r="I24" s="132"/>
      <x:c r="J24" s="132"/>
      <x:c r="K24" s="132"/>
      <x:c r="L24" s="132"/>
      <x:c r="M24" s="132"/>
    </x:row>
    <x:row r="25" ht="26.399999618530273" hidden="0" customHeight="1">
      <x:c r="A25" s="132" t="str">
        <x:v>Markup needed to reach target margin</x:v>
      </x:c>
      <x:c r="B25" s="132" t="str">
        <x:v>% over break-even</x:v>
      </x:c>
      <x:c r="C25" s="80" t="n">
        <x:f>IFERROR(C24/(1-C24),0)</x:f>
        <x:v>0.11111111111111112</x:v>
      </x:c>
      <x:c r="D25" s="80" t="n">
        <x:f>IFERROR(D24/(1-D24),0)</x:f>
        <x:v>0.11111111111111112</x:v>
      </x:c>
      <x:c r="E25" s="132"/>
      <x:c r="F25" s="132"/>
      <x:c r="G25" s="132"/>
      <x:c r="H25" s="132"/>
      <x:c r="I25" s="132"/>
      <x:c r="J25" s="132"/>
      <x:c r="K25" s="132"/>
      <x:c r="L25" s="132"/>
      <x:c r="M25" s="132"/>
    </x:row>
    <x:row r="26" ht="26.399999618530273" hidden="0" customHeight="1">
      <x:c r="A26" s="132" t="str">
        <x:v>Rate needed to reach target margin</x:v>
      </x:c>
      <x:c r="B26" s="132" t="str">
        <x:v>EUR/loaded km</x:v>
      </x:c>
      <x:c r="C26" s="110" t="n">
        <x:f>Engine!$C$62*(1+C25)</x:f>
        <x:v>1.645439245357169</x:v>
      </x:c>
      <x:c r="D26" s="110" t="n">
        <x:f>Engine!$D$62*(1+D25)</x:f>
        <x:v>1.7861291143927551</x:v>
      </x:c>
      <x:c r="E26" s="132"/>
      <x:c r="F26" s="132"/>
      <x:c r="G26" s="132"/>
      <x:c r="H26" s="132"/>
      <x:c r="I26" s="132"/>
      <x:c r="J26" s="132"/>
      <x:c r="K26" s="132"/>
      <x:c r="L26" s="132"/>
      <x:c r="M26" s="132"/>
    </x:row>
    <x:row r="27" ht="15" hidden="0" customHeight="1">
      <x:c r="A27" s="132"/>
      <x:c r="B27" s="132"/>
      <x:c r="C27" s="132"/>
      <x:c r="D27" s="132"/>
      <x:c r="E27" s="132"/>
      <x:c r="F27" s="132"/>
      <x:c r="G27" s="132"/>
      <x:c r="H27" s="132"/>
      <x:c r="I27" s="132"/>
      <x:c r="J27" s="132"/>
      <x:c r="K27" s="132"/>
      <x:c r="L27" s="132"/>
      <x:c r="M27" s="132"/>
    </x:row>
    <x:row r="28" ht="15" hidden="0" customHeight="1">
      <x:c r="A28" s="132" t="str">
        <x:v>Logic note</x:v>
      </x:c>
      <x:c r="B28" s="132"/>
      <x:c r="C28" s="132"/>
      <x:c r="D28" s="132"/>
      <x:c r="E28" s="132"/>
      <x:c r="F28" s="132"/>
      <x:c r="G28" s="132"/>
      <x:c r="H28" s="132"/>
      <x:c r="I28" s="132"/>
      <x:c r="J28" s="132"/>
      <x:c r="K28" s="132"/>
      <x:c r="L28" s="132"/>
      <x:c r="M28" s="132"/>
    </x:row>
    <x:row r="29" ht="39.599998474121094" hidden="0" customHeight="1">
      <x:c r="A29" s="13" t="str">
        <x:v>Break-even is calculated first in Engine row 62.</x:v>
      </x:c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</x:row>
    <x:row r="30" ht="66" hidden="0" customHeight="1">
      <x:c r="A30" s="13" t="str">
        <x:v>Customer rate is then calculated here as: break-even price × (1 + markup over break-even).</x:v>
      </x:c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</x:row>
    <x:row r="31" ht="92.4000015258789" hidden="0" customHeight="1">
      <x:c r="A31" s="13" t="str">
        <x:v>A 10% markup over break-even is not the same as a 10% EBIT margin; a 10% EBIT margin requires an 11.11% markup over break-even.</x:v>
      </x:c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</x:row>
    <x:row r="32" ht="15" hidden="0" customHeight="1">
      <x:c r="A32" s="132"/>
      <x:c r="B32" s="132"/>
      <x:c r="C32" s="132"/>
      <x:c r="D32" s="132"/>
      <x:c r="E32" s="132"/>
      <x:c r="F32" s="132"/>
      <x:c r="G32" s="132"/>
      <x:c r="H32" s="132"/>
      <x:c r="I32" s="132"/>
      <x:c r="J32" s="132"/>
      <x:c r="K32" s="132"/>
      <x:c r="L32" s="132"/>
      <x:c r="M32" s="132"/>
    </x:row>
    <x:row r="33" ht="26.399999618530273" hidden="0" customHeight="1">
      <x:c r="A33" s="132" t="str">
        <x:v>Tax-adjusted selected pricing view</x:v>
      </x:c>
      <x:c r="B33" s="132"/>
      <x:c r="C33" s="132"/>
      <x:c r="D33" s="132"/>
      <x:c r="E33" s="132"/>
      <x:c r="F33" s="132"/>
      <x:c r="G33" s="132"/>
      <x:c r="H33" s="132"/>
      <x:c r="I33" s="132"/>
      <x:c r="J33" s="132"/>
      <x:c r="K33" s="132"/>
      <x:c r="L33" s="132"/>
      <x:c r="M33" s="132"/>
    </x:row>
    <x:row r="34" ht="15" hidden="0" customHeight="1">
      <x:c r="A34" s="35"/>
      <x:c r="B34" s="35"/>
      <x:c r="C34" s="35"/>
      <x:c r="D34" s="35"/>
      <x:c r="E34" s="35"/>
      <x:c r="F34" s="132"/>
      <x:c r="G34" s="132"/>
      <x:c r="H34" s="132"/>
      <x:c r="I34" s="132"/>
      <x:c r="J34" s="132"/>
      <x:c r="K34" s="132"/>
      <x:c r="L34" s="132"/>
      <x:c r="M34" s="132"/>
    </x:row>
    <x:row r="35" ht="15" hidden="0" customHeight="1">
      <x:c r="A35" s="132" t="str">
        <x:v>Metric</x:v>
      </x:c>
      <x:c r="B35" s="132" t="str">
        <x:v>Unit</x:v>
      </x:c>
      <x:c r="C35" s="68" t="str">
        <x:v>Long Distance 40t</x:v>
      </x:c>
      <x:c r="D35" s="68" t="str">
        <x:v>Regional 40t</x:v>
      </x:c>
      <x:c r="E35" s="13" t="str">
        <x:v>Formula / source</x:v>
      </x:c>
      <x:c r="F35" s="132"/>
      <x:c r="G35" s="132"/>
      <x:c r="H35" s="132"/>
      <x:c r="I35" s="132"/>
      <x:c r="J35" s="132"/>
      <x:c r="K35" s="132"/>
      <x:c r="L35" s="132"/>
      <x:c r="M35" s="132"/>
    </x:row>
    <x:row r="36" ht="39.599998474121094" hidden="0" customHeight="1">
      <x:c r="A36" s="132" t="str">
        <x:v>Customer rate excl. VAT</x:v>
      </x:c>
      <x:c r="B36" s="132" t="str">
        <x:v>EUR/loaded km</x:v>
      </x:c>
      <x:c r="C36" s="68" t="n">
        <x:f>'Company &amp; Tax Profile'!C35</x:f>
        <x:v>1.6660072359241334</x:v>
      </x:c>
      <x:c r="D36" s="68" t="n">
        <x:f>'Company &amp; Tax Profile'!D35</x:f>
        <x:v>1.8084557283226645</x:v>
      </x:c>
      <x:c r="E36" s="13" t="str">
        <x:v>From selected pricing assumption above.</x:v>
      </x:c>
      <x:c r="F36" s="132"/>
      <x:c r="G36" s="132"/>
      <x:c r="H36" s="132"/>
      <x:c r="I36" s="132"/>
      <x:c r="J36" s="132"/>
      <x:c r="K36" s="132"/>
      <x:c r="L36" s="132"/>
      <x:c r="M36" s="132"/>
    </x:row>
    <x:row r="37" ht="26.399999618530273" hidden="0" customHeight="1">
      <x:c r="A37" s="132" t="str">
        <x:v>Customer invoice rate incl. VAT</x:v>
      </x:c>
      <x:c r="B37" s="132" t="str">
        <x:v>EUR/loaded km</x:v>
      </x:c>
      <x:c r="C37" s="84" t="n">
        <x:f>'Company &amp; Tax Profile'!C36</x:f>
        <x:v>2.015868755468201</x:v>
      </x:c>
      <x:c r="D37" s="84" t="n">
        <x:f>'Company &amp; Tax Profile'!D36</x:f>
        <x:v>2.188231431270424</x:v>
      </x:c>
      <x:c r="E37" s="13" t="str">
        <x:v>From Company &amp; Tax Profile.</x:v>
      </x:c>
      <x:c r="F37" s="132"/>
      <x:c r="G37" s="132"/>
      <x:c r="H37" s="132"/>
      <x:c r="I37" s="132"/>
      <x:c r="J37" s="132"/>
      <x:c r="K37" s="132"/>
      <x:c r="L37" s="132"/>
      <x:c r="M37" s="132"/>
    </x:row>
    <x:row r="38" ht="26.399999618530273" hidden="0" customHeight="1">
      <x:c r="A38" s="132" t="str">
        <x:v>Annual revenue excl. VAT</x:v>
      </x:c>
      <x:c r="B38" s="132" t="str">
        <x:v>EUR/year</x:v>
      </x:c>
      <x:c r="C38" s="84" t="n">
        <x:f>'Company &amp; Tax Profile'!C38</x:f>
        <x:v>160726.88188071563</x:v>
      </x:c>
      <x:c r="D38" s="84" t="n">
        <x:v>142669.072407375</x:v>
      </x:c>
      <x:c r="E38" s="13" t="str">
        <x:v>Revenue used for EBIT.</x:v>
      </x:c>
      <x:c r="F38" s="132"/>
      <x:c r="G38" s="132"/>
      <x:c r="H38" s="132"/>
      <x:c r="I38" s="132"/>
      <x:c r="J38" s="132"/>
      <x:c r="K38" s="132"/>
      <x:c r="L38" s="132"/>
      <x:c r="M38" s="132"/>
    </x:row>
    <x:row r="39" ht="26.399999618530273" hidden="0" customHeight="1">
      <x:c r="A39" s="132" t="str">
        <x:v>VAT collected / payable</x:v>
      </x:c>
      <x:c r="B39" s="132" t="str">
        <x:v>EUR/year</x:v>
      </x:c>
      <x:c r="C39" s="84" t="n">
        <x:v>33752.64519495028</x:v>
      </x:c>
      <x:c r="D39" s="84" t="n">
        <x:v>29960.50520554875</x:v>
      </x:c>
      <x:c r="E39" s="13" t="str">
        <x:v>Cash/invoice layer only, not revenue.</x:v>
      </x:c>
      <x:c r="F39" s="132"/>
      <x:c r="G39" s="132"/>
      <x:c r="H39" s="132"/>
      <x:c r="I39" s="132"/>
      <x:c r="J39" s="132"/>
      <x:c r="K39" s="132"/>
      <x:c r="L39" s="132"/>
      <x:c r="M39" s="132"/>
    </x:row>
    <x:row r="40" ht="26.399999618530273" hidden="0" customHeight="1">
      <x:c r="A40" s="132" t="str">
        <x:v>Invoice value incl. VAT</x:v>
      </x:c>
      <x:c r="B40" s="132" t="str">
        <x:v>EUR/year</x:v>
      </x:c>
      <x:c r="C40" s="84" t="n">
        <x:v>194479.52707566592</x:v>
      </x:c>
      <x:c r="D40" s="84" t="n">
        <x:v>172629.57761292375</x:v>
      </x:c>
      <x:c r="E40" s="13" t="str">
        <x:v>Customer invoice amount incl. VAT.</x:v>
      </x:c>
      <x:c r="F40" s="132"/>
      <x:c r="G40" s="132"/>
      <x:c r="H40" s="132"/>
      <x:c r="I40" s="132"/>
      <x:c r="J40" s="132"/>
      <x:c r="K40" s="132"/>
      <x:c r="L40" s="132"/>
      <x:c r="M40" s="132"/>
    </x:row>
    <x:row r="41" ht="39.599998474121094" hidden="0" customHeight="1">
      <x:c r="A41" s="132" t="str">
        <x:v>EBIT before business tax</x:v>
      </x:c>
      <x:c r="B41" s="132" t="str">
        <x:v>EUR/year</x:v>
      </x:c>
      <x:c r="C41" s="84" t="n">
        <x:v>17858.54243119061</x:v>
      </x:c>
      <x:c r="D41" s="84" t="n">
        <x:v>15852.119156375004</x:v>
      </x:c>
      <x:c r="E41" s="13" t="str">
        <x:v>Operational EBIT before company tax.</x:v>
      </x:c>
      <x:c r="F41" s="132"/>
      <x:c r="G41" s="132"/>
      <x:c r="H41" s="132"/>
      <x:c r="I41" s="132"/>
      <x:c r="J41" s="132"/>
      <x:c r="K41" s="132"/>
      <x:c r="L41" s="132"/>
      <x:c r="M41" s="132"/>
    </x:row>
    <x:row r="42" ht="26.399999618530273" hidden="0" customHeight="1">
      <x:c r="A42" s="132" t="str">
        <x:v>Business tax charge</x:v>
      </x:c>
      <x:c r="B42" s="132" t="str">
        <x:v>EUR/year</x:v>
      </x:c>
      <x:c r="C42" s="84" t="n">
        <x:v>2857.3667889904978</x:v>
      </x:c>
      <x:c r="D42" s="84" t="n">
        <x:v>2536.339065020001</x:v>
      </x:c>
      <x:c r="E42" s="13" t="str">
        <x:v>Tax on positive EBIT only.</x:v>
      </x:c>
      <x:c r="F42" s="132"/>
      <x:c r="G42" s="132"/>
      <x:c r="H42" s="132"/>
      <x:c r="I42" s="132"/>
      <x:c r="J42" s="132"/>
      <x:c r="K42" s="132"/>
      <x:c r="L42" s="132"/>
      <x:c r="M42" s="132"/>
    </x:row>
    <x:row r="43" ht="26.399999618530273" hidden="0" customHeight="1">
      <x:c r="A43" s="132" t="str">
        <x:v>Profit after business tax</x:v>
      </x:c>
      <x:c r="B43" s="132" t="str">
        <x:v>EUR/year</x:v>
      </x:c>
      <x:c r="C43" s="84" t="n">
        <x:v>15001.175642200113</x:v>
      </x:c>
      <x:c r="D43" s="84" t="n">
        <x:v>13315.780091355002</x:v>
      </x:c>
      <x:c r="E43" s="13" t="str">
        <x:v>EBIT minus business tax.</x:v>
      </x:c>
      <x:c r="F43" s="132"/>
      <x:c r="G43" s="132"/>
      <x:c r="H43" s="132"/>
      <x:c r="I43" s="132"/>
      <x:c r="J43" s="132"/>
      <x:c r="K43" s="132"/>
      <x:c r="L43" s="132"/>
      <x:c r="M43" s="132"/>
    </x:row>
    <x:row r="44" ht="26.399999618530273" hidden="0" customHeight="1">
      <x:c r="A44" s="132" t="str">
        <x:v>EBIT margin</x:v>
      </x:c>
      <x:c r="B44" s="132" t="str">
        <x:v>% revenue</x:v>
      </x:c>
      <x:c r="C44" s="70" t="n">
        <x:v>0.11111111111111101</x:v>
      </x:c>
      <x:c r="D44" s="70" t="n">
        <x:v>0.11111111111111113</x:v>
      </x:c>
      <x:c r="E44" s="13" t="str">
        <x:v>EBIT / revenue excl. VAT.</x:v>
      </x:c>
      <x:c r="F44" s="132"/>
      <x:c r="G44" s="132"/>
      <x:c r="H44" s="132"/>
      <x:c r="I44" s="132"/>
      <x:c r="J44" s="132"/>
      <x:c r="K44" s="132"/>
      <x:c r="L44" s="132"/>
      <x:c r="M44" s="132"/>
    </x:row>
    <x:row r="45" ht="39.599998474121094" hidden="0" customHeight="1">
      <x:c r="A45" s="132" t="str">
        <x:v>After-tax profit margin</x:v>
      </x:c>
      <x:c r="B45" s="132" t="str">
        <x:v>% revenue</x:v>
      </x:c>
      <x:c r="C45" s="70" t="n">
        <x:v>0.09333333333333325</x:v>
      </x:c>
      <x:c r="D45" s="70" t="n">
        <x:v>0.09333333333333334</x:v>
      </x:c>
      <x:c r="E45" s="13" t="str">
        <x:v>Profit after business tax / revenue excl. VAT.</x:v>
      </x:c>
      <x:c r="F45" s="132"/>
      <x:c r="G45" s="132"/>
      <x:c r="H45" s="132"/>
      <x:c r="I45" s="132"/>
      <x:c r="J45" s="132"/>
      <x:c r="K45" s="132"/>
      <x:c r="L45" s="132"/>
      <x:c r="M45" s="132"/>
    </x:row>
    <x:row r="46" ht="26.399999618530273" hidden="0" customHeight="1">
      <x:c r="A46" s="132" t="str">
        <x:v>Required rate for target after-tax margin</x:v>
      </x:c>
      <x:c r="B46" s="132" t="str">
        <x:v>EUR/loaded km</x:v>
      </x:c>
      <x:c r="C46" s="68" t="n">
        <x:v>1.6792295155743249</x:v>
      </x:c>
      <x:c r="D46" s="68" t="n">
        <x:v>1.8228085515633206</x:v>
      </x:c>
      <x:c r="E46" s="13" t="str">
        <x:v>From Company &amp; Tax Profile.</x:v>
      </x:c>
      <x:c r="F46" s="132"/>
      <x:c r="G46" s="132"/>
      <x:c r="H46" s="132"/>
      <x:c r="I46" s="132"/>
      <x:c r="J46" s="132"/>
      <x:c r="K46" s="132"/>
      <x:c r="L46" s="132"/>
      <x:c r="M46" s="132"/>
    </x:row>
  </x:sheetData>
  <x:mergeCells>
    <x:mergeCell ref="A1:M1"/>
  </x:mergeCells>
  <x:dataValidations count="1">
    <x:dataValidation type="list" showInputMessage="1" promptTitle="Selected markup" prompt="Choose markup over break-even. You may also enter a custom % if needed." sqref="C16:D16">
      <x:formula1>"0,0.05,0.1,0.125,0.15,0.2,0.25,0.3,0.35,0.4"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 ht="38.400001525878906" hidden="0" customHeight="1">
      <x:c r="A1" s="5" t="str">
        <x:v>Break-even sensitivity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 customHeight="1">
      <x:c r="A2" s="132" t="str">
        <x:v>Selected profile</x:v>
      </x:c>
      <x:c r="B2" s="132" t="str">
        <x:v>Long Distance 40t</x:v>
      </x:c>
      <x:c r="C2" s="132"/>
      <x:c r="D2" s="132"/>
      <x:c r="E2" s="132"/>
      <x:c r="F2" s="132"/>
      <x:c r="G2" s="132"/>
      <x:c r="H2" s="132"/>
      <x:c r="I2" s="132"/>
      <x:c r="J2" s="77" t="str">
        <x:v>Selected column</x:v>
      </x:c>
      <x:c r="K2" s="77" t="n">
        <x:f>MATCH($B$2,Engine!$C$1:$D$1,0)</x:f>
        <x:v>1</x:v>
      </x:c>
    </x:row>
    <x:row r="3" ht="15" hidden="0" customHeight="1">
      <x:c r="A3" s="132"/>
      <x:c r="B3" s="132"/>
      <x:c r="C3" s="132"/>
      <x:c r="D3" s="132"/>
      <x:c r="E3" s="132"/>
      <x:c r="F3" s="132"/>
      <x:c r="G3" s="132"/>
      <x:c r="H3" s="132"/>
      <x:c r="I3" s="132"/>
      <x:c r="J3" s="77" t="str">
        <x:v>Annual total km</x:v>
      </x:c>
      <x:c r="K3" s="77" t="n">
        <x:f>INDEX(Engine!$C$3:$D$3,1,$K$2)</x:f>
        <x:v>113100.00000000001</x:v>
      </x:c>
    </x:row>
    <x:row r="4" ht="15" hidden="0" customHeight="1">
      <x:c r="A4" s="132" t="str">
        <x:v>Rate/load factor EBIT matrix</x:v>
      </x:c>
      <x:c r="B4" s="132"/>
      <x:c r="C4" s="132"/>
      <x:c r="D4" s="132"/>
      <x:c r="E4" s="132"/>
      <x:c r="F4" s="132"/>
      <x:c r="G4" s="132"/>
      <x:c r="H4" s="132"/>
      <x:c r="I4" s="132"/>
      <x:c r="J4" s="77" t="str">
        <x:v>Variable €/total km</x:v>
      </x:c>
      <x:c r="K4" s="77" t="n">
        <x:f>INDEX(Engine!$C$42:$D$42,1,$K$2)</x:f>
        <x:v>0.6044186171522989</x:v>
      </x:c>
    </x:row>
    <x:row r="5" ht="15" hidden="0" customHeight="1">
      <x:c r="A5" s="22" t="str">
        <x:v>Load factor \ Rate</x:v>
      </x:c>
      <x:c r="B5" s="116" t="n">
        <x:v>1.2</x:v>
      </x:c>
      <x:c r="C5" s="116" t="n">
        <x:v>1.4</x:v>
      </x:c>
      <x:c r="D5" s="116" t="n">
        <x:v>1.6</x:v>
      </x:c>
      <x:c r="E5" s="116" t="n">
        <x:v>1.8</x:v>
      </x:c>
      <x:c r="F5" s="116" t="n">
        <x:v>2</x:v>
      </x:c>
      <x:c r="G5" s="116" t="n">
        <x:v>2.2</x:v>
      </x:c>
      <x:c r="H5" s="116" t="n">
        <x:v>2.4</x:v>
      </x:c>
      <x:c r="I5" s="132"/>
      <x:c r="J5" s="77" t="str">
        <x:v>Fixed incl driver</x:v>
      </x:c>
      <x:c r="K5" s="77" t="n">
        <x:f>INDEX(Engine!$C$57:$D$57,1,$K$2)</x:f>
        <x:v>74508.5938496</x:v>
      </x:c>
    </x:row>
    <x:row r="6" ht="15" hidden="0" customHeight="1">
      <x:c r="A6" s="47" t="n">
        <x:v>0.65</x:v>
      </x:c>
      <x:c r="B6" s="117" t="n">
        <x:f>B$5*$K$3*$A6-($K$5+$K$4*$K$3)</x:f>
        <x:v>-54650.339449525025</x:v>
      </x:c>
      <x:c r="C6" s="117" t="n">
        <x:f>C$5*$K$3*$A6-($K$5+$K$4*$K$3)</x:f>
        <x:v>-39947.339449525025</x:v>
      </x:c>
      <x:c r="D6" s="117" t="n">
        <x:f>D$5*$K$3*$A6-($K$5+$K$4*$K$3)</x:f>
        <x:v>-25244.339449524996</x:v>
      </x:c>
      <x:c r="E6" s="117" t="n">
        <x:f>E$5*$K$3*$A6-($K$5+$K$4*$K$3)</x:f>
        <x:v>-10541.339449524996</x:v>
      </x:c>
      <x:c r="F6" s="117" t="n">
        <x:f>F$5*$K$3*$A6-($K$5+$K$4*$K$3)</x:f>
        <x:v>4161.660550475004</x:v>
      </x:c>
      <x:c r="G6" s="117" t="n">
        <x:f>G$5*$K$3*$A6-($K$5+$K$4*$K$3)</x:f>
        <x:v>18864.660550475004</x:v>
      </x:c>
      <x:c r="H6" s="117" t="n">
        <x:f>H$5*$K$3*$A6-($K$5+$K$4*$K$3)</x:f>
        <x:v>33567.660550474975</x:v>
      </x:c>
      <x:c r="I6" s="132"/>
      <x:c r="J6" s="77" t="str">
        <x:v>Loaded ratio</x:v>
      </x:c>
      <x:c r="K6" s="77" t="n">
        <x:f>INDEX(Engine!$C$8:$D$8,1,$K$2)</x:f>
        <x:v>0.853</x:v>
      </x:c>
    </x:row>
    <x:row r="7" ht="15" hidden="0" customHeight="1">
      <x:c r="A7" s="134" t="n">
        <x:v>0.7</x:v>
      </x:c>
      <x:c r="B7" s="82" t="n">
        <x:f>B$5*$K$3*$A7-($K$5+$K$4*$K$3)</x:f>
        <x:v>-47864.339449525025</x:v>
      </x:c>
      <x:c r="C7" s="82" t="n">
        <x:f>C$5*$K$3*$A7-($K$5+$K$4*$K$3)</x:f>
        <x:v>-32030.339449525025</x:v>
      </x:c>
      <x:c r="D7" s="82" t="n">
        <x:f>D$5*$K$3*$A7-($K$5+$K$4*$K$3)</x:f>
        <x:v>-16196.33944952501</x:v>
      </x:c>
      <x:c r="E7" s="82" t="n">
        <x:f>E$5*$K$3*$A7-($K$5+$K$4*$K$3)</x:f>
        <x:v>-362.339449525025</x:v>
      </x:c>
      <x:c r="F7" s="82" t="n">
        <x:f>F$5*$K$3*$A7-($K$5+$K$4*$K$3)</x:f>
        <x:v>15471.660550474975</x:v>
      </x:c>
      <x:c r="G7" s="82" t="n">
        <x:f>G$5*$K$3*$A7-($K$5+$K$4*$K$3)</x:f>
        <x:v>31305.660550475004</x:v>
      </x:c>
      <x:c r="H7" s="82" t="n">
        <x:f>H$5*$K$3*$A7-($K$5+$K$4*$K$3)</x:f>
        <x:v>47139.660550474975</x:v>
      </x:c>
      <x:c r="I7" s="132"/>
      <x:c r="J7" s="77" t="str">
        <x:v>Current BE price</x:v>
      </x:c>
      <x:c r="K7" s="77" t="n">
        <x:f>INDEX(Engine!$C$62:$D$62,1,$K$2)</x:f>
        <x:v>1.480895320821452</x:v>
      </x:c>
    </x:row>
    <x:row r="8" ht="15" hidden="0" customHeight="1">
      <x:c r="A8" s="134" t="n">
        <x:v>0.75</x:v>
      </x:c>
      <x:c r="B8" s="82" t="n">
        <x:f>B$5*$K$3*$A8-($K$5+$K$4*$K$3)</x:f>
        <x:v>-41078.339449525025</x:v>
      </x:c>
      <x:c r="C8" s="82" t="n">
        <x:f>C$5*$K$3*$A8-($K$5+$K$4*$K$3)</x:f>
        <x:v>-24113.339449525025</x:v>
      </x:c>
      <x:c r="D8" s="82" t="n">
        <x:f>D$5*$K$3*$A8-($K$5+$K$4*$K$3)</x:f>
        <x:v>-7148.339449524996</x:v>
      </x:c>
      <x:c r="E8" s="82" t="n">
        <x:f>E$5*$K$3*$A8-($K$5+$K$4*$K$3)</x:f>
        <x:v>9816.660550475004</x:v>
      </x:c>
      <x:c r="F8" s="82" t="n">
        <x:f>F$5*$K$3*$A8-($K$5+$K$4*$K$3)</x:f>
        <x:v>26781.660550475004</x:v>
      </x:c>
      <x:c r="G8" s="82" t="n">
        <x:f>G$5*$K$3*$A8-($K$5+$K$4*$K$3)</x:f>
        <x:v>43746.66055047503</x:v>
      </x:c>
      <x:c r="H8" s="82" t="n">
        <x:f>H$5*$K$3*$A8-($K$5+$K$4*$K$3)</x:f>
        <x:v>60711.660550474975</x:v>
      </x:c>
      <x:c r="I8" s="132"/>
      <x:c r="J8" s="77" t="str">
        <x:v>Target margin price</x:v>
      </x:c>
      <x:c r="K8" s="77" t="n">
        <x:f>INDEX(Engine!$C$63:$D$63,1,$K$2)</x:f>
        <x:v>1.6454392453571687</x:v>
      </x:c>
    </x:row>
    <x:row r="9" ht="26.399999618530273" hidden="0" customHeight="1">
      <x:c r="A9" s="134" t="n">
        <x:v>0.8</x:v>
      </x:c>
      <x:c r="B9" s="82" t="n">
        <x:f>B$5*$K$3*$A9-($K$5+$K$4*$K$3)</x:f>
        <x:v>-34292.339449525025</x:v>
      </x:c>
      <x:c r="C9" s="82" t="n">
        <x:f>C$5*$K$3*$A9-($K$5+$K$4*$K$3)</x:f>
        <x:v>-16196.339449525025</x:v>
      </x:c>
      <x:c r="D9" s="82" t="n">
        <x:f>D$5*$K$3*$A9-($K$5+$K$4*$K$3)</x:f>
        <x:v>1899.6605504750041</x:v>
      </x:c>
      <x:c r="E9" s="82" t="n">
        <x:f>E$5*$K$3*$A9-($K$5+$K$4*$K$3)</x:f>
        <x:v>19995.660550475004</x:v>
      </x:c>
      <x:c r="F9" s="82" t="n">
        <x:f>F$5*$K$3*$A9-($K$5+$K$4*$K$3)</x:f>
        <x:v>38091.660550475004</x:v>
      </x:c>
      <x:c r="G9" s="82" t="n">
        <x:f>G$5*$K$3*$A9-($K$5+$K$4*$K$3)</x:f>
        <x:v>56187.66055047503</x:v>
      </x:c>
      <x:c r="H9" s="82" t="n">
        <x:f>H$5*$K$3*$A9-($K$5+$K$4*$K$3)</x:f>
        <x:v>74283.66055047498</x:v>
      </x:c>
      <x:c r="I9" s="132"/>
      <x:c r="J9" s="77" t="str">
        <x:v>Selected customer rate</x:v>
      </x:c>
      <x:c r="K9" s="77" t="n">
        <x:f>INDEX(Engine!$C$28:$D$28,1,$K$2)</x:f>
        <x:v>1.6660072359241334</x:v>
      </x:c>
    </x:row>
    <x:row r="10" ht="15" hidden="0" customHeight="1">
      <x:c r="A10" s="134" t="n">
        <x:v>0.85</x:v>
      </x:c>
      <x:c r="B10" s="82" t="n">
        <x:f>B$5*$K$3*$A10-($K$5+$K$4*$K$3)</x:f>
        <x:v>-27506.339449525025</x:v>
      </x:c>
      <x:c r="C10" s="82" t="n">
        <x:f>C$5*$K$3*$A10-($K$5+$K$4*$K$3)</x:f>
        <x:v>-8279.339449525025</x:v>
      </x:c>
      <x:c r="D10" s="82" t="n">
        <x:f>D$5*$K$3*$A10-($K$5+$K$4*$K$3)</x:f>
        <x:v>10947.660550475004</x:v>
      </x:c>
      <x:c r="E10" s="82" t="n">
        <x:f>E$5*$K$3*$A10-($K$5+$K$4*$K$3)</x:f>
        <x:v>30174.660550475004</x:v>
      </x:c>
      <x:c r="F10" s="82" t="n">
        <x:f>F$5*$K$3*$A10-($K$5+$K$4*$K$3)</x:f>
        <x:v>49401.660550475004</x:v>
      </x:c>
      <x:c r="G10" s="82" t="n">
        <x:f>G$5*$K$3*$A10-($K$5+$K$4*$K$3)</x:f>
        <x:v>68628.66055047503</x:v>
      </x:c>
      <x:c r="H10" s="82" t="n">
        <x:f>H$5*$K$3*$A10-($K$5+$K$4*$K$3)</x:f>
        <x:v>87855.66055047498</x:v>
      </x:c>
      <x:c r="I10" s="132"/>
      <x:c r="J10" s="77" t="str">
        <x:v>EBIT at selected rate</x:v>
      </x:c>
      <x:c r="K10" s="77" t="n">
        <x:f>INDEX(Engine!$C$65:$D$65,1,$K$2)</x:f>
        <x:v>17858.54243119061</x:v>
      </x:c>
    </x:row>
    <x:row r="11" ht="15" hidden="0" customHeight="1">
      <x:c r="A11" s="134" t="n">
        <x:v>0.9</x:v>
      </x:c>
      <x:c r="B11" s="82" t="n">
        <x:f>B$5*$K$3*$A11-($K$5+$K$4*$K$3)</x:f>
        <x:v>-20720.339449525025</x:v>
      </x:c>
      <x:c r="C11" s="82" t="n">
        <x:f>C$5*$K$3*$A11-($K$5+$K$4*$K$3)</x:f>
        <x:v>-362.339449525025</x:v>
      </x:c>
      <x:c r="D11" s="82" t="n">
        <x:f>D$5*$K$3*$A11-($K$5+$K$4*$K$3)</x:f>
        <x:v>19995.660550475004</x:v>
      </x:c>
      <x:c r="E11" s="82" t="n">
        <x:f>E$5*$K$3*$A11-($K$5+$K$4*$K$3)</x:f>
        <x:v>40353.660550475004</x:v>
      </x:c>
      <x:c r="F11" s="82" t="n">
        <x:f>F$5*$K$3*$A11-($K$5+$K$4*$K$3)</x:f>
        <x:v>60711.660550475004</x:v>
      </x:c>
      <x:c r="G11" s="82" t="n">
        <x:f>G$5*$K$3*$A11-($K$5+$K$4*$K$3)</x:f>
        <x:v>81069.66055047503</x:v>
      </x:c>
      <x:c r="H11" s="82" t="n">
        <x:f>H$5*$K$3*$A11-($K$5+$K$4*$K$3)</x:f>
        <x:v>101427.66055047498</x:v>
      </x:c>
      <x:c r="I11" s="132"/>
      <x:c r="J11" s="132"/>
      <x:c r="K11" s="132"/>
    </x:row>
    <x:row r="12" ht="15" hidden="0" customHeight="1">
      <x:c r="A12" s="134" t="n">
        <x:v>0.95</x:v>
      </x:c>
      <x:c r="B12" s="82" t="n">
        <x:f>B$5*$K$3*$A12-($K$5+$K$4*$K$3)</x:f>
        <x:v>-13934.339449525025</x:v>
      </x:c>
      <x:c r="C12" s="82" t="n">
        <x:f>C$5*$K$3*$A12-($K$5+$K$4*$K$3)</x:f>
        <x:v>7554.660550474975</x:v>
      </x:c>
      <x:c r="D12" s="82" t="n">
        <x:f>D$5*$K$3*$A12-($K$5+$K$4*$K$3)</x:f>
        <x:v>29043.660550475004</x:v>
      </x:c>
      <x:c r="E12" s="82" t="n">
        <x:f>E$5*$K$3*$A12-($K$5+$K$4*$K$3)</x:f>
        <x:v>50532.660550475004</x:v>
      </x:c>
      <x:c r="F12" s="82" t="n">
        <x:f>F$5*$K$3*$A12-($K$5+$K$4*$K$3)</x:f>
        <x:v>72021.660550475</x:v>
      </x:c>
      <x:c r="G12" s="82" t="n">
        <x:f>G$5*$K$3*$A12-($K$5+$K$4*$K$3)</x:f>
        <x:v>93510.66055047503</x:v>
      </x:c>
      <x:c r="H12" s="82" t="n">
        <x:f>H$5*$K$3*$A12-($K$5+$K$4*$K$3)</x:f>
        <x:v>114999.66055047498</x:v>
      </x:c>
      <x:c r="I12" s="132"/>
      <x:c r="J12" s="132"/>
      <x:c r="K12" s="132"/>
    </x:row>
    <x:row r="13" ht="15" hidden="0" customHeight="1">
      <x:c r="A13" s="132"/>
      <x:c r="B13" s="132"/>
      <x:c r="C13" s="132"/>
      <x:c r="D13" s="132"/>
      <x:c r="E13" s="132"/>
      <x:c r="F13" s="132"/>
      <x:c r="G13" s="132"/>
      <x:c r="H13" s="132"/>
      <x:c r="I13" s="132"/>
      <x:c r="J13" s="132"/>
      <x:c r="K13" s="132"/>
    </x:row>
    <x:row r="14" ht="26.399999618530273" hidden="0" customHeight="1">
      <x:c r="A14" s="132" t="str">
        <x:v>Scenario curve at current loaded ratio</x:v>
      </x:c>
      <x:c r="B14" s="132"/>
      <x:c r="C14" s="132"/>
      <x:c r="D14" s="132"/>
      <x:c r="E14" s="132"/>
      <x:c r="F14" s="132"/>
      <x:c r="G14" s="132"/>
      <x:c r="H14" s="132"/>
      <x:c r="I14" s="132"/>
      <x:c r="J14" s="132"/>
      <x:c r="K14" s="132"/>
    </x:row>
    <x:row r="15" ht="15" hidden="0" customHeight="1">
      <x:c r="A15" s="22" t="str">
        <x:v>Rate</x:v>
      </x:c>
      <x:c r="B15" s="22" t="str">
        <x:v>Long Distance EBIT</x:v>
      </x:c>
      <x:c r="C15" s="22" t="str">
        <x:v>Regional EBIT</x:v>
      </x:c>
      <x:c r="D15" s="132"/>
      <x:c r="E15" s="132"/>
      <x:c r="F15" s="132"/>
      <x:c r="G15" s="132"/>
      <x:c r="H15" s="132"/>
      <x:c r="I15" s="132"/>
      <x:c r="J15" s="132"/>
      <x:c r="K15" s="132"/>
    </x:row>
    <x:row r="16" ht="15" hidden="0" customHeight="1">
      <x:c r="A16" s="135" t="n">
        <x:v>1.2</x:v>
      </x:c>
      <x:c r="B16" s="82" t="n">
        <x:f>$A16*Engine!$C$3*Engine!$C$8-(Engine!$C$57+Engine!$C$42*Engine!$C$3)</x:f>
        <x:v>-27099.17944952502</x:v>
      </x:c>
      <x:c r="C16" s="82" t="n">
        <x:f>$A16*Engine!$D$3*Engine!$D$8-(Engine!$D$57+Engine!$D$42*Engine!$D$3)</x:f>
        <x:v>-32148.953251</x:v>
      </x:c>
      <x:c r="D16" s="132"/>
      <x:c r="E16" s="132"/>
      <x:c r="F16" s="132"/>
      <x:c r="G16" s="132"/>
      <x:c r="H16" s="132"/>
      <x:c r="I16" s="132"/>
      <x:c r="J16" s="132"/>
      <x:c r="K16" s="132"/>
    </x:row>
    <x:row r="17" ht="15" hidden="0" customHeight="1">
      <x:c r="A17" s="135" t="n">
        <x:v>1.3</x:v>
      </x:c>
      <x:c r="B17" s="82" t="n">
        <x:f>$A17*Engine!$C$3*Engine!$C$8-(Engine!$C$57+Engine!$C$42*Engine!$C$3)</x:f>
        <x:v>-17451.749449525</x:v>
      </x:c>
      <x:c r="C17" s="82" t="n">
        <x:f>$A17*Engine!$D$3*Engine!$D$8-(Engine!$D$57+Engine!$D$42*Engine!$D$3)</x:f>
        <x:v>-24259.953251</x:v>
      </x:c>
      <x:c r="D17" s="132"/>
      <x:c r="E17" s="132"/>
      <x:c r="F17" s="132"/>
      <x:c r="G17" s="132"/>
      <x:c r="H17" s="132"/>
      <x:c r="I17" s="132"/>
      <x:c r="J17" s="132"/>
      <x:c r="K17" s="132"/>
    </x:row>
    <x:row r="18" ht="15" hidden="0" customHeight="1">
      <x:c r="A18" s="135" t="n">
        <x:v>1.4</x:v>
      </x:c>
      <x:c r="B18" s="82" t="n">
        <x:f>$A18*Engine!$C$3*Engine!$C$8-(Engine!$C$57+Engine!$C$42*Engine!$C$3)</x:f>
        <x:v>-7804.319449525035</x:v>
      </x:c>
      <x:c r="C18" s="82" t="n">
        <x:f>$A18*Engine!$D$3*Engine!$D$8-(Engine!$D$57+Engine!$D$42*Engine!$D$3)</x:f>
        <x:v>-16370.953250999999</x:v>
      </x:c>
      <x:c r="D18" s="132"/>
      <x:c r="E18" s="132"/>
      <x:c r="F18" s="132"/>
      <x:c r="G18" s="132"/>
      <x:c r="H18" s="132"/>
      <x:c r="I18" s="132"/>
      <x:c r="J18" s="132"/>
      <x:c r="K18" s="132"/>
    </x:row>
    <x:row r="19" ht="15" hidden="0" customHeight="1">
      <x:c r="A19" s="135" t="n">
        <x:v>1.5</x:v>
      </x:c>
      <x:c r="B19" s="82" t="n">
        <x:f>$A19*Engine!$C$3*Engine!$C$8-(Engine!$C$57+Engine!$C$42*Engine!$C$3)</x:f>
        <x:v>1843.1105504749867</x:v>
      </x:c>
      <x:c r="C19" s="82" t="n">
        <x:f>$A19*Engine!$D$3*Engine!$D$8-(Engine!$D$57+Engine!$D$42*Engine!$D$3)</x:f>
        <x:v>-8481.953250999999</x:v>
      </x:c>
      <x:c r="D19" s="132"/>
      <x:c r="E19" s="132"/>
      <x:c r="F19" s="132"/>
      <x:c r="G19" s="132"/>
      <x:c r="H19" s="132"/>
      <x:c r="I19" s="132"/>
      <x:c r="J19" s="132"/>
      <x:c r="K19" s="132"/>
    </x:row>
    <x:row r="20" ht="15" hidden="0" customHeight="1">
      <x:c r="A20" s="135" t="n">
        <x:v>1.6</x:v>
      </x:c>
      <x:c r="B20" s="82" t="n">
        <x:f>$A20*Engine!$C$3*Engine!$C$8-(Engine!$C$57+Engine!$C$42*Engine!$C$3)</x:f>
        <x:v>11490.540550475009</x:v>
      </x:c>
      <x:c r="C20" s="82" t="n">
        <x:f>$A20*Engine!$D$3*Engine!$D$8-(Engine!$D$57+Engine!$D$42*Engine!$D$3)</x:f>
        <x:v>-592.9532509999844</x:v>
      </x:c>
      <x:c r="D20" s="132"/>
      <x:c r="E20" s="132"/>
      <x:c r="F20" s="132"/>
      <x:c r="G20" s="132"/>
      <x:c r="H20" s="132"/>
      <x:c r="I20" s="132"/>
      <x:c r="J20" s="132"/>
      <x:c r="K20" s="132"/>
    </x:row>
    <x:row r="21" ht="15" hidden="0" customHeight="1">
      <x:c r="A21" s="135" t="n">
        <x:v>1.7</x:v>
      </x:c>
      <x:c r="B21" s="82" t="n">
        <x:f>$A21*Engine!$C$3*Engine!$C$8-(Engine!$C$57+Engine!$C$42*Engine!$C$3)</x:f>
        <x:v>21137.970550475</x:v>
      </x:c>
      <x:c r="C21" s="82" t="n">
        <x:f>$A21*Engine!$D$3*Engine!$D$8-(Engine!$D$57+Engine!$D$42*Engine!$D$3)</x:f>
        <x:v>7296.046749000001</x:v>
      </x:c>
      <x:c r="D21" s="132"/>
      <x:c r="E21" s="132"/>
      <x:c r="F21" s="132"/>
      <x:c r="G21" s="132"/>
      <x:c r="H21" s="132"/>
      <x:c r="I21" s="132"/>
      <x:c r="J21" s="132"/>
      <x:c r="K21" s="132"/>
    </x:row>
    <x:row r="22" ht="15" hidden="0" customHeight="1">
      <x:c r="A22" s="135" t="n">
        <x:v>1.8</x:v>
      </x:c>
      <x:c r="B22" s="82" t="n">
        <x:f>$A22*Engine!$C$3*Engine!$C$8-(Engine!$C$57+Engine!$C$42*Engine!$C$3)</x:f>
        <x:v>30785.400550474995</x:v>
      </x:c>
      <x:c r="C22" s="82" t="n">
        <x:f>$A22*Engine!$D$3*Engine!$D$8-(Engine!$D$57+Engine!$D$42*Engine!$D$3)</x:f>
        <x:v>15185.046749000001</x:v>
      </x:c>
      <x:c r="D22" s="132"/>
      <x:c r="E22" s="132"/>
      <x:c r="F22" s="132"/>
      <x:c r="G22" s="132"/>
      <x:c r="H22" s="132"/>
      <x:c r="I22" s="132"/>
      <x:c r="J22" s="132"/>
      <x:c r="K22" s="132"/>
    </x:row>
    <x:row r="23" ht="15" hidden="0" customHeight="1">
      <x:c r="A23" s="135" t="n">
        <x:v>1.9</x:v>
      </x:c>
      <x:c r="B23" s="82" t="n">
        <x:f>$A23*Engine!$C$3*Engine!$C$8-(Engine!$C$57+Engine!$C$42*Engine!$C$3)</x:f>
        <x:v>40432.83055047499</x:v>
      </x:c>
      <x:c r="C23" s="82" t="n">
        <x:f>$A23*Engine!$D$3*Engine!$D$8-(Engine!$D$57+Engine!$D$42*Engine!$D$3)</x:f>
        <x:v>23074.046749</x:v>
      </x:c>
      <x:c r="D23" s="132"/>
      <x:c r="E23" s="132"/>
      <x:c r="F23" s="132"/>
      <x:c r="G23" s="132"/>
      <x:c r="H23" s="132"/>
      <x:c r="I23" s="132"/>
      <x:c r="J23" s="132"/>
      <x:c r="K23" s="132"/>
    </x:row>
    <x:row r="24" ht="15" hidden="0" customHeight="1">
      <x:c r="A24" s="135" t="n">
        <x:v>2</x:v>
      </x:c>
      <x:c r="B24" s="82" t="n">
        <x:f>$A24*Engine!$C$3*Engine!$C$8-(Engine!$C$57+Engine!$C$42*Engine!$C$3)</x:f>
        <x:v>50080.26055047501</x:v>
      </x:c>
      <x:c r="C24" s="82" t="n">
        <x:f>$A24*Engine!$D$3*Engine!$D$8-(Engine!$D$57+Engine!$D$42*Engine!$D$3)</x:f>
        <x:v>30963.046749</x:v>
      </x:c>
      <x:c r="D24" s="132"/>
      <x:c r="E24" s="132"/>
      <x:c r="F24" s="132"/>
      <x:c r="G24" s="132"/>
      <x:c r="H24" s="132"/>
      <x:c r="I24" s="132"/>
      <x:c r="J24" s="132"/>
      <x:c r="K24" s="132"/>
    </x:row>
    <x:row r="25" ht="15" hidden="0" customHeight="1">
      <x:c r="A25" s="135" t="n">
        <x:v>2.1</x:v>
      </x:c>
      <x:c r="B25" s="82" t="n">
        <x:f>$A25*Engine!$C$3*Engine!$C$8-(Engine!$C$57+Engine!$C$42*Engine!$C$3)</x:f>
        <x:v>59727.690550475</x:v>
      </x:c>
      <x:c r="C25" s="82" t="n">
        <x:f>$A25*Engine!$D$3*Engine!$D$8-(Engine!$D$57+Engine!$D$42*Engine!$D$3)</x:f>
        <x:v>38852.046749</x:v>
      </x:c>
      <x:c r="D25" s="132"/>
      <x:c r="E25" s="132"/>
      <x:c r="F25" s="132"/>
      <x:c r="G25" s="132"/>
      <x:c r="H25" s="132"/>
      <x:c r="I25" s="132"/>
      <x:c r="J25" s="132"/>
      <x:c r="K25" s="132"/>
    </x:row>
    <x:row r="26" ht="15" hidden="0" customHeight="1">
      <x:c r="A26" s="135" t="n">
        <x:v>2.2</x:v>
      </x:c>
      <x:c r="B26" s="82" t="n">
        <x:f>$A26*Engine!$C$3*Engine!$C$8-(Engine!$C$57+Engine!$C$42*Engine!$C$3)</x:f>
        <x:v>69375.12055047503</x:v>
      </x:c>
      <x:c r="C26" s="82" t="n">
        <x:f>$A26*Engine!$D$3*Engine!$D$8-(Engine!$D$57+Engine!$D$42*Engine!$D$3)</x:f>
        <x:v>46741.04674900003</x:v>
      </x:c>
      <x:c r="D26" s="132"/>
      <x:c r="E26" s="132"/>
      <x:c r="F26" s="132"/>
      <x:c r="G26" s="132"/>
      <x:c r="H26" s="132"/>
      <x:c r="I26" s="132"/>
      <x:c r="J26" s="132"/>
      <x:c r="K26" s="132"/>
    </x:row>
    <x:row r="27" ht="15" hidden="0" customHeight="1">
      <x:c r="A27" s="135" t="n">
        <x:v>2.3</x:v>
      </x:c>
      <x:c r="B27" s="82" t="n">
        <x:f>$A27*Engine!$C$3*Engine!$C$8-(Engine!$C$57+Engine!$C$42*Engine!$C$3)</x:f>
        <x:v>79022.55055047496</x:v>
      </x:c>
      <x:c r="C27" s="82" t="n">
        <x:f>$A27*Engine!$D$3*Engine!$D$8-(Engine!$D$57+Engine!$D$42*Engine!$D$3)</x:f>
        <x:v>54630.046749</x:v>
      </x:c>
      <x:c r="D27" s="132"/>
      <x:c r="E27" s="132"/>
      <x:c r="F27" s="132"/>
      <x:c r="G27" s="132"/>
      <x:c r="H27" s="132"/>
      <x:c r="I27" s="132"/>
      <x:c r="J27" s="132"/>
      <x:c r="K27" s="132"/>
    </x:row>
    <x:row r="28" ht="15" hidden="0" customHeight="1">
      <x:c r="A28" s="135" t="n">
        <x:v>2.4</x:v>
      </x:c>
      <x:c r="B28" s="82" t="n">
        <x:f>$A28*Engine!$C$3*Engine!$C$8-(Engine!$C$57+Engine!$C$42*Engine!$C$3)</x:f>
        <x:v>88669.98055047498</x:v>
      </x:c>
      <x:c r="C28" s="82" t="n">
        <x:f>$A28*Engine!$D$3*Engine!$D$8-(Engine!$D$57+Engine!$D$42*Engine!$D$3)</x:f>
        <x:v>62519.046749</x:v>
      </x:c>
      <x:c r="D28" s="132"/>
      <x:c r="E28" s="132"/>
      <x:c r="F28" s="132"/>
      <x:c r="G28" s="132"/>
      <x:c r="H28" s="132"/>
      <x:c r="I28" s="132"/>
      <x:c r="J28" s="132"/>
      <x:c r="K28" s="132"/>
    </x:row>
    <x:row r="29" ht="15" hidden="0" customHeight="1">
      <x:c r="A29" s="132"/>
      <x:c r="B29" s="132"/>
      <x:c r="C29" s="132"/>
      <x:c r="D29" s="132"/>
      <x:c r="E29" s="132"/>
      <x:c r="F29" s="132"/>
      <x:c r="G29" s="132"/>
      <x:c r="H29" s="132"/>
      <x:c r="I29" s="132"/>
      <x:c r="J29" s="132"/>
      <x:c r="K29" s="132"/>
    </x:row>
    <x:row r="30" ht="15" hidden="0" customHeight="1">
      <x:c r="A30" s="132"/>
      <x:c r="B30" s="132"/>
      <x:c r="C30" s="132"/>
      <x:c r="D30" s="132"/>
      <x:c r="E30" s="132"/>
      <x:c r="F30" s="132"/>
      <x:c r="G30" s="132"/>
      <x:c r="H30" s="132"/>
      <x:c r="I30" s="132"/>
      <x:c r="J30" s="132"/>
      <x:c r="K30" s="132"/>
    </x:row>
    <x:row r="31" ht="26.399999618530273" hidden="0" customHeight="1">
      <x:c r="A31" s="132" t="str">
        <x:v>Load capability sensitivity by vehicle type</x:v>
      </x:c>
      <x:c r="B31" s="132"/>
      <x:c r="C31" s="132"/>
      <x:c r="D31" s="132"/>
      <x:c r="E31" s="132"/>
      <x:c r="F31" s="132"/>
      <x:c r="G31" s="132"/>
      <x:c r="H31" s="132"/>
      <x:c r="I31" s="132"/>
      <x:c r="J31" s="132"/>
      <x:c r="K31" s="132"/>
    </x:row>
    <x:row r="32" ht="118.80000305175781" hidden="0" customHeight="1">
      <x:c r="A32" s="132" t="str">
        <x:v>This section compares break-even by vehicle capability, from vans to high-capacity trucks. Use EUR/tonne-km when payload is the commercial constraint; use EUR/loaded-km when the truck is sold as a full-truck movement.</x:v>
      </x:c>
      <x:c r="B32" s="132"/>
      <x:c r="C32" s="132"/>
      <x:c r="D32" s="132"/>
      <x:c r="E32" s="132"/>
      <x:c r="F32" s="132"/>
      <x:c r="G32" s="132"/>
      <x:c r="H32" s="132"/>
      <x:c r="I32" s="132"/>
      <x:c r="J32" s="132"/>
      <x:c r="K32" s="132"/>
    </x:row>
    <x:row r="33" ht="26.399999618530273" hidden="0" customHeight="1">
      <x:c r="A33" s="22" t="str">
        <x:v>Vehicle class</x:v>
      </x:c>
      <x:c r="B33" s="22" t="str">
        <x:v>Payload capacity (t)</x:v>
      </x:c>
      <x:c r="C33" s="22" t="str">
        <x:v>Effective payload (t)</x:v>
      </x:c>
      <x:c r="D33" s="22" t="str">
        <x:v>Loaded km/year</x:v>
      </x:c>
      <x:c r="E33" s="22" t="str">
        <x:v>Annual tonne-km</x:v>
      </x:c>
      <x:c r="F33" s="22" t="str">
        <x:v>Total annual cost (EUR)</x:v>
      </x:c>
      <x:c r="G33" s="22" t="str">
        <x:v>Break-even EUR/loaded km</x:v>
      </x:c>
      <x:c r="H33" s="22" t="str">
        <x:v>Break-even EUR/tonne-km</x:v>
      </x:c>
      <x:c r="I33" s="22" t="str">
        <x:v>Availability / validation note</x:v>
      </x:c>
      <x:c r="J33" s="22" t="str">
        <x:v>Source URL</x:v>
      </x:c>
      <x:c r="K33" s="22" t="str">
        <x:v>Data type</x:v>
      </x:c>
    </x:row>
    <x:row r="34" ht="52.79999923706055" hidden="0" customHeight="1">
      <x:c r="A34" s="55" t="str">
        <x:f>'Vehicle Classes'!A5</x:f>
        <x:v>Small van</x:v>
      </x:c>
      <x:c r="B34" s="55" t="n">
        <x:f>'Vehicle Classes'!D5</x:f>
        <x:v>1.2</x:v>
      </x:c>
      <x:c r="C34" s="80" t="n">
        <x:f>'Vehicle Classes'!F5</x:f>
        <x:v>0.8999999999999999</x:v>
      </x:c>
      <x:c r="D34" s="80" t="n">
        <x:f>'Vehicle Classes'!I5</x:f>
        <x:v>31499.999999999996</x:v>
      </x:c>
      <x:c r="E34" s="96" t="n">
        <x:f>D34*C34</x:f>
        <x:v>28349.999999999993</x:v>
      </x:c>
      <x:c r="F34" s="96" t="n">
        <x:f>'Vehicle Classes'!R5</x:f>
        <x:v>59910.117771875</x:v>
      </x:c>
      <x:c r="G34" s="96" t="n">
        <x:f>'Vehicle Classes'!S5</x:f>
        <x:v>1.9019085006944445</x:v>
      </x:c>
      <x:c r="H34" s="96" t="n">
        <x:f>'Vehicle Classes'!T5</x:f>
        <x:v>2.113231667438272</x:v>
      </x:c>
      <x:c r="I34" s="68" t="str">
        <x:f>'Vehicle Classes'!U5</x:f>
        <x:v>Model assumption; validate payload against actual van spec</x:v>
      </x:c>
      <x:c r="J34" s="68" t="str">
        <x:f>'Vehicle Classes'!V5</x:f>
        <x:v>https://climate.ec.europa.eu/system/files/2017-03/hdv_lightweighting_en.pdf</x:v>
      </x:c>
      <x:c r="K34" s="70" t="str">
        <x:f>'Vehicle Classes'!W5</x:f>
        <x:v>Editable</x:v>
      </x:c>
    </x:row>
    <x:row r="35" ht="52.79999923706055" hidden="0" customHeight="1">
      <x:c r="A35" s="55" t="str">
        <x:f>'Vehicle Classes'!A6</x:f>
        <x:v>Large van 3.5t</x:v>
      </x:c>
      <x:c r="B35" s="55" t="n">
        <x:f>'Vehicle Classes'!D6</x:f>
        <x:v>2</x:v>
      </x:c>
      <x:c r="C35" s="80" t="n">
        <x:f>'Vehicle Classes'!F6</x:f>
        <x:v>1.5</x:v>
      </x:c>
      <x:c r="D35" s="80" t="n">
        <x:f>'Vehicle Classes'!I6</x:f>
        <x:v>46800</x:v>
      </x:c>
      <x:c r="E35" s="96" t="n">
        <x:f>D35*C35</x:f>
        <x:v>70200</x:v>
      </x:c>
      <x:c r="F35" s="96" t="n">
        <x:f>'Vehicle Classes'!R6</x:f>
        <x:v>75971.092075</x:v>
      </x:c>
      <x:c r="G35" s="96" t="n">
        <x:f>'Vehicle Classes'!S6</x:f>
        <x:v>1.6233139332264956</x:v>
      </x:c>
      <x:c r="H35" s="96" t="n">
        <x:f>'Vehicle Classes'!T6</x:f>
        <x:v>1.0822092888176638</x:v>
      </x:c>
      <x:c r="I35" s="68" t="str">
        <x:f>'Vehicle Classes'!U6</x:f>
        <x:v>3.5t GVW large van; payload can reach about 2t depending on body/spec</x:v>
      </x:c>
      <x:c r="J35" s="68" t="str">
        <x:f>'Vehicle Classes'!V6</x:f>
        <x:v>https://climate.ec.europa.eu/system/files/2017-03/hdv_lightweighting_en.pdf</x:v>
      </x:c>
      <x:c r="K35" s="70" t="str">
        <x:f>'Vehicle Classes'!W6</x:f>
        <x:v>Editable</x:v>
      </x:c>
    </x:row>
    <x:row r="36" ht="52.79999923706055" hidden="0" customHeight="1">
      <x:c r="A36" s="55" t="str">
        <x:f>'Vehicle Classes'!A7</x:f>
        <x:v>Light truck 7.5t</x:v>
      </x:c>
      <x:c r="B36" s="55" t="n">
        <x:f>'Vehicle Classes'!D7</x:f>
        <x:v>3.5</x:v>
      </x:c>
      <x:c r="C36" s="80" t="n">
        <x:f>'Vehicle Classes'!F7</x:f>
        <x:v>2.8000000000000003</x:v>
      </x:c>
      <x:c r="D36" s="80" t="n">
        <x:f>'Vehicle Classes'!I7</x:f>
        <x:v>56250</x:v>
      </x:c>
      <x:c r="E36" s="96" t="n">
        <x:f>D36*C36</x:f>
        <x:v>157500.00000000003</x:v>
      </x:c>
      <x:c r="F36" s="96" t="n">
        <x:v>105186.29550000001</x:v>
      </x:c>
      <x:c r="G36" s="96" t="n">
        <x:v>1.8699785866666667</x:v>
      </x:c>
      <x:c r="H36" s="96" t="n">
        <x:v>0.6678494952380951</x:v>
      </x:c>
      <x:c r="I36" s="68" t="str">
        <x:v>Operational class assumption; validate by vehicle body and national rules</x:v>
      </x:c>
      <x:c r="J36" s="68" t="n">
        <x:v>0</x:v>
      </x:c>
      <x:c r="K36" s="70" t="str">
        <x:v>Editable</x:v>
      </x:c>
    </x:row>
    <x:row r="37" ht="52.79999923706055" hidden="0" customHeight="1">
      <x:c r="A37" s="55" t="str">
        <x:v>Medium rigid 12t</x:v>
      </x:c>
      <x:c r="B37" s="55" t="n">
        <x:v>6</x:v>
      </x:c>
      <x:c r="C37" s="80" t="n">
        <x:v>4.92</x:v>
      </x:c>
      <x:c r="D37" s="80" t="n">
        <x:v>62400</x:v>
      </x:c>
      <x:c r="E37" s="96" t="n">
        <x:v>307008</x:v>
      </x:c>
      <x:c r="F37" s="96" t="n">
        <x:v>136873.2334</x:v>
      </x:c>
      <x:c r="G37" s="96" t="n">
        <x:v>2.1934813044871793</x:v>
      </x:c>
      <x:c r="H37" s="96" t="n">
        <x:v>0.44582953343235354</x:v>
      </x:c>
      <x:c r="I37" s="68" t="str">
        <x:v>Operational class assumption; payload depends on body and axle setup</x:v>
      </x:c>
      <x:c r="J37" s="68" t="n">
        <x:v>0</x:v>
      </x:c>
      <x:c r="K37" s="70" t="str">
        <x:v>Editable</x:v>
      </x:c>
    </x:row>
    <x:row r="38" ht="52.79999923706055" hidden="0" customHeight="1">
      <x:c r="A38" s="55" t="str">
        <x:v>Rigid truck 18t</x:v>
      </x:c>
      <x:c r="B38" s="55" t="n">
        <x:v>9</x:v>
      </x:c>
      <x:c r="C38" s="80" t="n">
        <x:v>7.6499999999999995</x:v>
      </x:c>
      <x:c r="D38" s="80" t="n">
        <x:v>68000</x:v>
      </x:c>
      <x:c r="E38" s="96" t="n">
        <x:v>520199.99999999994</x:v>
      </x:c>
      <x:c r="F38" s="96" t="n">
        <x:v>169093.79014375</x:v>
      </x:c>
      <x:c r="G38" s="96" t="n">
        <x:v>2.4866733844669118</x:v>
      </x:c>
      <x:c r="H38" s="96" t="n">
        <x:v>0.32505534437475975</x:v>
      </x:c>
      <x:c r="I38" s="68" t="str">
        <x:v>Operational class assumption; common distribution/retail class</x:v>
      </x:c>
      <x:c r="J38" s="68" t="n">
        <x:v>0</x:v>
      </x:c>
      <x:c r="K38" s="70" t="str">
        <x:v>Editable</x:v>
      </x:c>
    </x:row>
    <x:row r="39" ht="52.79999923706055" hidden="0" customHeight="1">
      <x:c r="A39" s="55" t="str">
        <x:v>Rigid truck 26t</x:v>
      </x:c>
      <x:c r="B39" s="55" t="n">
        <x:v>14</x:v>
      </x:c>
      <x:c r="C39" s="80" t="n">
        <x:v>11.9</x:v>
      </x:c>
      <x:c r="D39" s="80" t="n">
        <x:v>73800</x:v>
      </x:c>
      <x:c r="E39" s="96" t="n">
        <x:v>878220</x:v>
      </x:c>
      <x:c r="F39" s="96" t="n">
        <x:v>203308.1370375</x:v>
      </x:c>
      <x:c r="G39" s="96" t="n">
        <x:v>2.754852805386179</x:v>
      </x:c>
      <x:c r="H39" s="96" t="n">
        <x:v>0.23150023574673773</x:v>
      </x:c>
      <x:c r="I39" s="68" t="str">
        <x:v>Operational class assumption; common 3-axle heavy rigid class</x:v>
      </x:c>
      <x:c r="J39" s="68" t="n">
        <x:v>0</x:v>
      </x:c>
      <x:c r="K39" s="70" t="str">
        <x:v>Editable</x:v>
      </x:c>
    </x:row>
    <x:row r="40" ht="52.79999923706055" hidden="0" customHeight="1">
      <x:c r="A40" s="55" t="str">
        <x:v>Articulated 40t</x:v>
      </x:c>
      <x:c r="B40" s="55" t="n">
        <x:v>24</x:v>
      </x:c>
      <x:c r="C40" s="80" t="n">
        <x:v>20.832</x:v>
      </x:c>
      <x:c r="D40" s="80" t="n">
        <x:v>96474.3</x:v>
      </x:c>
      <x:c r="E40" s="96" t="n">
        <x:v>2009752.6176000002</x:v>
      </x:c>
      <x:c r="F40" s="96" t="n">
        <x:v>154127.70559992502</x:v>
      </x:c>
      <x:c r="G40" s="96" t="n">
        <x:v>1.5976037721955485</x:v>
      </x:c>
      <x:c r="H40" s="96" t="n">
        <x:v>0.0766898892182963</x:v>
      </x:c>
      <x:c r="I40" s="68" t="str">
        <x:v>Standard EU heavy-goods reference class; original model anchor</x:v>
      </x:c>
      <x:c r="J40" s="68" t="str">
        <x:v>https://ec.europa.eu/commission/presscorner/detail/en/MEMO_13_329</x:v>
      </x:c>
      <x:c r="K40" s="70" t="str">
        <x:v>Editable</x:v>
      </x:c>
    </x:row>
    <x:row r="41" ht="52.79999923706055" hidden="0" customHeight="1">
      <x:c r="A41" s="55" t="str">
        <x:v>Articulated 44t</x:v>
      </x:c>
      <x:c r="B41" s="55" t="n">
        <x:v>28</x:v>
      </x:c>
      <x:c r="C41" s="80" t="n">
        <x:v>24.64</x:v>
      </x:c>
      <x:c r="D41" s="80" t="n">
        <x:v>97266</x:v>
      </x:c>
      <x:c r="E41" s="96" t="n">
        <x:v>2396634.24</x:v>
      </x:c>
      <x:c r="F41" s="96" t="n">
        <x:v>178169.4464560625</x:v>
      </x:c>
      <x:c r="G41" s="96" t="n">
        <x:v>1.8317751984872668</x:v>
      </x:c>
      <x:c r="H41" s="96" t="n">
        <x:v>0.07434152591263257</x:v>
      </x:c>
      <x:c r="I41" s="68" t="str">
        <x:v>44t only where rules allow, especially combined/intermodal transport</x:v>
      </x:c>
      <x:c r="J41" s="68" t="str">
        <x:v>https://ec.europa.eu/commission/presscorner/detail/en/MEMO_13_329</x:v>
      </x:c>
      <x:c r="K41" s="70" t="str">
        <x:v>Editable</x:v>
      </x:c>
    </x:row>
    <x:row r="42" ht="118.80000305175781" hidden="0" customHeight="1">
      <x:c r="A42" s="55" t="str">
        <x:v>EMS / high-capacity 60t</x:v>
      </x:c>
      <x:c r="B42" s="55" t="n">
        <x:v>38</x:v>
      </x:c>
      <x:c r="C42" s="80" t="n">
        <x:v>34.2</x:v>
      </x:c>
      <x:c r="D42" s="80" t="n">
        <x:v>101200</x:v>
      </x:c>
      <x:c r="E42" s="96" t="n">
        <x:v>3461040.0000000005</x:v>
      </x:c>
      <x:c r="F42" s="96" t="n">
        <x:v>226940.89934375</x:v>
      </x:c>
      <x:c r="G42" s="96" t="n">
        <x:v>2.242499005373024</x:v>
      </x:c>
      <x:c r="H42" s="96" t="n">
        <x:v>0.06557014635593636</x:v>
      </x:c>
      <x:c r="I42" s="68" t="str">
        <x:v>Not universal EU-wide; EMS/high-capacity combinations are country/route dependent</x:v>
      </x:c>
      <x:c r="J42" s="68" t="str">
        <x:v>https://transport.ec.europa.eu/document/download/45e1073e-373a-4156-966b-0523915dec9f_en?filename=SWD_2023_70_implementation_report_amendments_dir_96_53.pdf</x:v>
      </x:c>
      <x:c r="K42" s="70" t="str">
        <x:v>Editable</x:v>
      </x:c>
    </x:row>
    <x:row r="43" ht="15" hidden="0" customHeight="1">
      <x:c r="A43" s="132"/>
      <x:c r="B43" s="132"/>
      <x:c r="C43" s="132"/>
      <x:c r="D43" s="132"/>
      <x:c r="E43" s="132"/>
      <x:c r="F43" s="132"/>
      <x:c r="G43" s="132"/>
      <x:c r="H43" s="132"/>
      <x:c r="I43" s="132"/>
      <x:c r="J43" s="132"/>
      <x:c r="K43" s="132"/>
    </x:row>
    <x:row r="44" ht="15" hidden="0" customHeight="1">
      <x:c r="A44" s="132"/>
      <x:c r="B44" s="132"/>
      <x:c r="C44" s="132"/>
      <x:c r="D44" s="132"/>
      <x:c r="E44" s="132"/>
      <x:c r="F44" s="132"/>
      <x:c r="G44" s="132"/>
      <x:c r="H44" s="132"/>
      <x:c r="I44" s="132"/>
      <x:c r="J44" s="132"/>
      <x:c r="K44" s="132"/>
    </x:row>
    <x:row r="45" ht="26.399999618530273" hidden="0" customHeight="1">
      <x:c r="A45" s="132" t="str">
        <x:v>Payload utilisation matrix - break-even EUR per tonne-km</x:v>
      </x:c>
      <x:c r="B45" s="132"/>
      <x:c r="C45" s="132"/>
      <x:c r="D45" s="132"/>
      <x:c r="E45" s="132"/>
      <x:c r="F45" s="132"/>
      <x:c r="G45" s="132"/>
      <x:c r="H45" s="132"/>
      <x:c r="I45" s="132" t="str">
        <x:v>How to read</x:v>
      </x:c>
      <x:c r="J45" s="132"/>
      <x:c r="K45" s="132"/>
    </x:row>
    <x:row r="46" ht="105.5999984741211" hidden="0" customHeight="1">
      <x:c r="A46" s="132" t="str">
        <x:v>The same truck becomes materially more expensive per tonne-km when it runs below payload potential. This matrix isolates that effect while holding loaded km and annual cost constant by vehicle type.</x:v>
      </x:c>
      <x:c r="B46" s="132"/>
      <x:c r="C46" s="132"/>
      <x:c r="D46" s="132"/>
      <x:c r="E46" s="132"/>
      <x:c r="F46" s="132"/>
      <x:c r="G46" s="132"/>
      <x:c r="H46" s="132"/>
      <x:c r="I46" s="132" t="str">
        <x:v>Full-truck pricing</x:v>
      </x:c>
      <x:c r="J46" s="132" t="str">
        <x:v>Use EUR/loaded km</x:v>
      </x:c>
      <x:c r="K46" s="132" t="str">
        <x:v>Best for dedicated FTL movement.</x:v>
      </x:c>
    </x:row>
    <x:row r="47" ht="39.599998474121094" hidden="0" customHeight="1">
      <x:c r="A47" s="132"/>
      <x:c r="B47" s="132"/>
      <x:c r="C47" s="132"/>
      <x:c r="D47" s="132"/>
      <x:c r="E47" s="132"/>
      <x:c r="F47" s="132"/>
      <x:c r="G47" s="132"/>
      <x:c r="H47" s="132"/>
      <x:c r="I47" s="132" t="str">
        <x:v>Commodity density pricing</x:v>
      </x:c>
      <x:c r="J47" s="132" t="str">
        <x:v>Use EUR/tonne-km</x:v>
      </x:c>
      <x:c r="K47" s="132" t="str">
        <x:v>Best when payload tonnes are the constraint.</x:v>
      </x:c>
    </x:row>
    <x:row r="48" ht="39.599998474121094" hidden="0" customHeight="1">
      <x:c r="A48" s="132" t="str">
        <x:v>Vehicle class</x:v>
      </x:c>
      <x:c r="B48" s="132" t="n">
        <x:v>0.5</x:v>
      </x:c>
      <x:c r="C48" s="132" t="n">
        <x:v>0.65</x:v>
      </x:c>
      <x:c r="D48" s="132" t="n">
        <x:v>0.8</x:v>
      </x:c>
      <x:c r="E48" s="132" t="n">
        <x:v>0.9</x:v>
      </x:c>
      <x:c r="F48" s="132" t="n">
        <x:v>1</x:v>
      </x:c>
      <x:c r="G48" s="132" t="str">
        <x:v>Base payload util.</x:v>
      </x:c>
      <x:c r="H48" s="132"/>
      <x:c r="I48" s="132" t="str">
        <x:v>Underloaded risk</x:v>
      </x:c>
      <x:c r="J48" s="132" t="str">
        <x:v>Compare 50%-80% columns</x:v>
      </x:c>
      <x:c r="K48" s="132" t="str">
        <x:v>Shows break-even damage from low utilisation.</x:v>
      </x:c>
    </x:row>
    <x:row r="49" ht="26.399999618530273" hidden="0" customHeight="1">
      <x:c r="A49" s="132" t="str">
        <x:v>Small van</x:v>
      </x:c>
      <x:c r="B49" s="132" t="n">
        <x:v>3.169847501157408</x:v>
      </x:c>
      <x:c r="C49" s="132" t="n">
        <x:v>2.4383442316595443</x:v>
      </x:c>
      <x:c r="D49" s="132" t="n">
        <x:v>1.9811546882233797</x:v>
      </x:c>
      <x:c r="E49" s="132" t="n">
        <x:v>1.761026389531893</x:v>
      </x:c>
      <x:c r="F49" s="132" t="n">
        <x:v>1.584923750578704</x:v>
      </x:c>
      <x:c r="G49" s="132" t="n">
        <x:v>0.75</x:v>
      </x:c>
      <x:c r="H49" s="132"/>
      <x:c r="I49" s="132" t="str">
        <x:v>High-capacity trucks</x:v>
      </x:c>
      <x:c r="J49" s="132" t="str">
        <x:v>Check availability note</x:v>
      </x:c>
      <x:c r="K49" s="132" t="str">
        <x:v>EMS/60t is not universally allowed.</x:v>
      </x:c>
    </x:row>
    <x:row r="50" ht="15" hidden="0" customHeight="1">
      <x:c r="A50" s="132" t="str">
        <x:v>Large van 3.5t</x:v>
      </x:c>
      <x:c r="B50" s="132" t="n">
        <x:v>1.6233139332264956</x:v>
      </x:c>
      <x:c r="C50" s="132" t="n">
        <x:v>1.2487030255588427</x:v>
      </x:c>
      <x:c r="D50" s="132" t="n">
        <x:v>1.0145712082665597</x:v>
      </x:c>
      <x:c r="E50" s="132" t="n">
        <x:v>0.9018410740147198</x:v>
      </x:c>
      <x:c r="F50" s="132" t="n">
        <x:v>0.8116569666132478</x:v>
      </x:c>
      <x:c r="G50" s="132" t="n">
        <x:v>0.75</x:v>
      </x:c>
      <x:c r="H50" s="132"/>
      <x:c r="I50" s="132"/>
      <x:c r="J50" s="132"/>
      <x:c r="K50" s="132"/>
    </x:row>
    <x:row r="51" ht="15" hidden="0" customHeight="1">
      <x:c r="A51" s="132" t="str">
        <x:v>Light truck 7.5t</x:v>
      </x:c>
      <x:c r="B51" s="132" t="n">
        <x:v>1.0685591923809525</x:v>
      </x:c>
      <x:c r="C51" s="132" t="n">
        <x:v>0.8219686095238096</x:v>
      </x:c>
      <x:c r="D51" s="132" t="n">
        <x:v>0.6678494952380951</x:v>
      </x:c>
      <x:c r="E51" s="132" t="n">
        <x:v>0.5936439957671958</x:v>
      </x:c>
      <x:c r="F51" s="132" t="n">
        <x:v>0.5342795961904763</x:v>
      </x:c>
      <x:c r="G51" s="132" t="n">
        <x:v>0.8</x:v>
      </x:c>
      <x:c r="H51" s="132"/>
      <x:c r="I51" s="132"/>
      <x:c r="J51" s="132"/>
      <x:c r="K51" s="132"/>
    </x:row>
    <x:row r="52" ht="15" hidden="0" customHeight="1">
      <x:c r="A52" s="132" t="str">
        <x:v>Medium rigid 12t</x:v>
      </x:c>
      <x:c r="B52" s="132" t="n">
        <x:v>0.7311604348290598</x:v>
      </x:c>
      <x:c r="C52" s="132" t="n">
        <x:v>0.5624311037146613</x:v>
      </x:c>
      <x:c r="D52" s="132" t="n">
        <x:v>0.45697527176816227</x:v>
      </x:c>
      <x:c r="E52" s="132" t="n">
        <x:v>0.40620024157169987</x:v>
      </x:c>
      <x:c r="F52" s="132" t="n">
        <x:v>0.3655802174145299</x:v>
      </x:c>
      <x:c r="G52" s="132" t="n">
        <x:v>0.82</x:v>
      </x:c>
      <x:c r="H52" s="132"/>
      <x:c r="I52" s="132"/>
      <x:c r="J52" s="132"/>
      <x:c r="K52" s="132"/>
    </x:row>
    <x:row r="53" ht="15" hidden="0" customHeight="1">
      <x:c r="A53" s="132" t="str">
        <x:v>Rigid truck 18t</x:v>
      </x:c>
      <x:c r="B53" s="132" t="n">
        <x:v>0.5525940854370915</x:v>
      </x:c>
      <x:c r="C53" s="132" t="n">
        <x:v>0.42507237341314724</x:v>
      </x:c>
      <x:c r="D53" s="132" t="n">
        <x:v>0.3453713033981822</x:v>
      </x:c>
      <x:c r="E53" s="132" t="n">
        <x:v>0.3069967141317175</x:v>
      </x:c>
      <x:c r="F53" s="132" t="n">
        <x:v>0.27629704271854577</x:v>
      </x:c>
      <x:c r="G53" s="132" t="n">
        <x:v>0.85</x:v>
      </x:c>
      <x:c r="H53" s="132"/>
      <x:c r="I53" s="132"/>
      <x:c r="J53" s="132"/>
      <x:c r="K53" s="132"/>
    </x:row>
    <x:row r="54" ht="15" hidden="0" customHeight="1">
      <x:c r="A54" s="132" t="str">
        <x:v>Rigid truck 26t</x:v>
      </x:c>
      <x:c r="B54" s="132" t="n">
        <x:v>0.39355040076945413</x:v>
      </x:c>
      <x:c r="C54" s="132" t="n">
        <x:v>0.30273107751496475</x:v>
      </x:c>
      <x:c r="D54" s="132" t="n">
        <x:v>0.2459690004809088</x:v>
      </x:c>
      <x:c r="E54" s="132" t="n">
        <x:v>0.21863911153858565</x:v>
      </x:c>
      <x:c r="F54" s="132" t="n">
        <x:v>0.19677520038472707</x:v>
      </x:c>
      <x:c r="G54" s="132" t="n">
        <x:v>0.85</x:v>
      </x:c>
      <x:c r="H54" s="132"/>
      <x:c r="I54" s="132"/>
      <x:c r="J54" s="132"/>
      <x:c r="K54" s="132"/>
    </x:row>
    <x:row r="55" ht="15" hidden="0" customHeight="1">
      <x:c r="A55" s="132" t="str">
        <x:v>Articulated 40t</x:v>
      </x:c>
      <x:c r="B55" s="132" t="n">
        <x:v>0.13313364768296237</x:v>
      </x:c>
      <x:c r="C55" s="132" t="n">
        <x:v>0.10241049821766336</x:v>
      </x:c>
      <x:c r="D55" s="132" t="n">
        <x:v>0.08320852980185148</x:v>
      </x:c>
      <x:c r="E55" s="132" t="n">
        <x:v>0.07396313760164576</x:v>
      </x:c>
      <x:c r="F55" s="132" t="n">
        <x:v>0.06656682384148119</x:v>
      </x:c>
      <x:c r="G55" s="132" t="n">
        <x:v>0.868</x:v>
      </x:c>
      <x:c r="H55" s="132"/>
      <x:c r="I55" s="132"/>
      <x:c r="J55" s="132"/>
      <x:c r="K55" s="132"/>
    </x:row>
    <x:row r="56" ht="15" hidden="0" customHeight="1">
      <x:c r="A56" s="132" t="str">
        <x:v>Articulated 44t</x:v>
      </x:c>
      <x:c r="B56" s="132" t="n">
        <x:v>0.13084108560623334</x:v>
      </x:c>
      <x:c r="C56" s="132" t="n">
        <x:v>0.1006469889278718</x:v>
      </x:c>
      <x:c r="D56" s="132" t="n">
        <x:v>0.08177567850389582</x:v>
      </x:c>
      <x:c r="E56" s="132" t="n">
        <x:v>0.07268949200346297</x:v>
      </x:c>
      <x:c r="F56" s="132" t="n">
        <x:v>0.06542054280311667</x:v>
      </x:c>
      <x:c r="G56" s="132" t="n">
        <x:v>0.88</x:v>
      </x:c>
      <x:c r="H56" s="132"/>
      <x:c r="I56" s="132"/>
      <x:c r="J56" s="132"/>
      <x:c r="K56" s="132"/>
    </x:row>
    <x:row r="57" ht="15" hidden="0" customHeight="1">
      <x:c r="A57" s="132" t="str">
        <x:v>EMS / high-capacity 60t</x:v>
      </x:c>
      <x:c r="B57" s="132" t="n">
        <x:v>0.11802626344068547</x:v>
      </x:c>
      <x:c r="C57" s="132" t="n">
        <x:v>0.09078943341591189</x:v>
      </x:c>
      <x:c r="D57" s="132" t="n">
        <x:v>0.07376641465042841</x:v>
      </x:c>
      <x:c r="E57" s="132" t="n">
        <x:v>0.06557014635593636</x:v>
      </x:c>
      <x:c r="F57" s="132" t="n">
        <x:v>0.05901313172034273</x:v>
      </x:c>
      <x:c r="G57" s="132" t="n">
        <x:v>0.9</x:v>
      </x:c>
      <x:c r="H57" s="132"/>
      <x:c r="I57" s="132"/>
      <x:c r="J57" s="132"/>
      <x:c r="K57" s="132"/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2" hidden="0" customWidth="1"/>
    <x:col min="22" max="22" width="42" hidden="0" customWidth="1"/>
    <x:col min="23" max="23" width="16" hidden="0" customWidth="1"/>
  </x:cols>
  <x:sheetData>
    <x:row r="1" ht="76.80000305175781" hidden="0" customHeight="1">
      <x:c r="A1" s="5" t="str">
        <x:v>Vehicle capability assumptions for break-even sensitivity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105.5999984741211" hidden="0" customHeight="1">
      <x:c r="A2" s="13" t="str">
        <x:v>Blue numbers are editable assumptions; formula cells calculate effective payload, loaded km, annual cost and break-even price. Validate payload and legal access for actual countries/routes before using commercially.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</x:row>
    <x:row r="3" ht="15" hidden="0" customHeight="1">
      <x:c r="A3" s="132"/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132"/>
      <x:c r="P3" s="132"/>
      <x:c r="Q3" s="132"/>
      <x:c r="R3" s="132"/>
      <x:c r="S3" s="132"/>
      <x:c r="T3" s="132"/>
      <x:c r="U3" s="132"/>
      <x:c r="V3" s="132"/>
      <x:c r="W3" s="132"/>
    </x:row>
    <x:row r="4" ht="26.399999618530273" hidden="0" customHeight="1">
      <x:c r="A4" s="22" t="str">
        <x:v>Vehicle class</x:v>
      </x:c>
      <x:c r="B4" s="22" t="str">
        <x:v>Capability band</x:v>
      </x:c>
      <x:c r="C4" s="22" t="str">
        <x:v>GVW (t)</x:v>
      </x:c>
      <x:c r="D4" s="22" t="str">
        <x:v>Payload capacity (t)</x:v>
      </x:c>
      <x:c r="E4" s="22" t="str">
        <x:v>Base payload utilisation</x:v>
      </x:c>
      <x:c r="F4" s="22" t="str">
        <x:v>Effective payload (t)</x:v>
      </x:c>
      <x:c r="G4" s="22" t="str">
        <x:v>Annual total km</x:v>
      </x:c>
      <x:c r="H4" s="22" t="str">
        <x:v>Loaded ratio</x:v>
      </x:c>
      <x:c r="I4" s="22" t="str">
        <x:v>Loaded km</x:v>
      </x:c>
      <x:c r="J4" s="22" t="str">
        <x:v>Fuel L/100km</x:v>
      </x:c>
      <x:c r="K4" s="22" t="str">
        <x:v>Fuel price (EUR/L)</x:v>
      </x:c>
      <x:c r="L4" s="22" t="str">
        <x:v>Fuel EUR/km</x:v>
      </x:c>
      <x:c r="M4" s="22" t="str">
        <x:v>Non-fuel variable EUR/km</x:v>
      </x:c>
      <x:c r="N4" s="22" t="str">
        <x:v>Variable cost annual (EUR)</x:v>
      </x:c>
      <x:c r="O4" s="22" t="str">
        <x:v>Driver annual cost (EUR)</x:v>
      </x:c>
      <x:c r="P4" s="22" t="str">
        <x:v>Fixed vehicle annual (EUR)</x:v>
      </x:c>
      <x:c r="Q4" s="22" t="str">
        <x:v>Structural overhead annual (EUR)</x:v>
      </x:c>
      <x:c r="R4" s="22" t="str">
        <x:v>Total annual cost (EUR)</x:v>
      </x:c>
      <x:c r="S4" s="22" t="str">
        <x:v>Break-even EUR/loaded km</x:v>
      </x:c>
      <x:c r="T4" s="22" t="str">
        <x:v>Break-even EUR/tonne-km</x:v>
      </x:c>
      <x:c r="U4" s="22" t="str">
        <x:v>Availability / validation note</x:v>
      </x:c>
      <x:c r="V4" s="22" t="str">
        <x:v>Source URL</x:v>
      </x:c>
      <x:c r="W4" s="22" t="str">
        <x:v>Input/data type</x:v>
      </x:c>
    </x:row>
    <x:row r="5" ht="26.399999618530273" hidden="0" customHeight="1">
      <x:c r="A5" s="47" t="str">
        <x:v>Small van</x:v>
      </x:c>
      <x:c r="B5" s="47" t="str">
        <x:v>Urban / light delivery</x:v>
      </x:c>
      <x:c r="C5" s="122" t="n">
        <x:v>3.5</x:v>
      </x:c>
      <x:c r="D5" s="122" t="n">
        <x:v>1.2</x:v>
      </x:c>
      <x:c r="E5" s="90" t="n">
        <x:v>0.75</x:v>
      </x:c>
      <x:c r="F5" s="123" t="n">
        <x:f>D5*E5</x:f>
        <x:v>0.8999999999999999</x:v>
      </x:c>
      <x:c r="G5" s="126" t="n">
        <x:v>45000</x:v>
      </x:c>
      <x:c r="H5" s="90" t="n">
        <x:v>0.7</x:v>
      </x:c>
      <x:c r="I5" s="126" t="n">
        <x:f>G5*H5</x:f>
        <x:v>31499.999999999996</x:v>
      </x:c>
      <x:c r="J5" s="128" t="n">
        <x:v>9.5</x:v>
      </x:c>
      <x:c r="K5" s="128" t="n">
        <x:f>'Inputs'!$C$11</x:f>
        <x:v>1.265524625</x:v>
      </x:c>
      <x:c r="L5" s="128" t="n">
        <x:f>J5/100*K5</x:f>
        <x:v>0.120224839375</x:v>
      </x:c>
      <x:c r="M5" s="128" t="n">
        <x:v>0.1</x:v>
      </x:c>
      <x:c r="N5" s="130" t="n">
        <x:f>(L5+M5)*G5</x:f>
        <x:v>9910.117771875</x:v>
      </x:c>
      <x:c r="O5" s="130" t="n">
        <x:v>32000</x:v>
      </x:c>
      <x:c r="P5" s="130" t="n">
        <x:v>12000</x:v>
      </x:c>
      <x:c r="Q5" s="130" t="n">
        <x:v>6000</x:v>
      </x:c>
      <x:c r="R5" s="84" t="n">
        <x:f>N5+O5+P5+Q5</x:f>
        <x:v>59910.117771875</x:v>
      </x:c>
      <x:c r="S5" s="68" t="n">
        <x:f>IFERROR(R5/I5,"")</x:f>
        <x:v>1.9019085006944445</x:v>
      </x:c>
      <x:c r="T5" s="68" t="n">
        <x:f>IFERROR(R5/(I5*F5),"")</x:f>
        <x:v>2.113231667438272</x:v>
      </x:c>
      <x:c r="U5" s="13" t="str">
        <x:v>Model assumption; validate payload against actual van spec</x:v>
      </x:c>
      <x:c r="V5" s="13" t="str">
        <x:v>https://climate.ec.europa.eu/system/files/2017-03/hdv_lightweighting_en.pdf</x:v>
      </x:c>
      <x:c r="W5" s="13" t="str">
        <x:v>Editable</x:v>
      </x:c>
    </x:row>
    <x:row r="6" ht="26.399999618530273" hidden="0" customHeight="1">
      <x:c r="A6" s="47" t="str">
        <x:v>Large van 3.5t</x:v>
      </x:c>
      <x:c r="B6" s="47" t="str">
        <x:v>Van / courier</x:v>
      </x:c>
      <x:c r="C6" s="122" t="n">
        <x:v>3.5</x:v>
      </x:c>
      <x:c r="D6" s="122" t="n">
        <x:v>2</x:v>
      </x:c>
      <x:c r="E6" s="90" t="n">
        <x:v>0.75</x:v>
      </x:c>
      <x:c r="F6" s="123" t="n">
        <x:f>D6*E6</x:f>
        <x:v>1.5</x:v>
      </x:c>
      <x:c r="G6" s="126" t="n">
        <x:v>65000</x:v>
      </x:c>
      <x:c r="H6" s="90" t="n">
        <x:v>0.72</x:v>
      </x:c>
      <x:c r="I6" s="126" t="n">
        <x:f>G6*H6</x:f>
        <x:v>46800</x:v>
      </x:c>
      <x:c r="J6" s="128" t="n">
        <x:v>12</x:v>
      </x:c>
      <x:c r="K6" s="128" t="n">
        <x:f>'Inputs'!$C$11</x:f>
        <x:v>1.265524625</x:v>
      </x:c>
      <x:c r="L6" s="128" t="n">
        <x:f>J6/100*K6</x:f>
        <x:v>0.151862955</x:v>
      </x:c>
      <x:c r="M6" s="128" t="n">
        <x:v>0.14</x:v>
      </x:c>
      <x:c r="N6" s="130" t="n">
        <x:f>(L6+M6)*G6</x:f>
        <x:v>18971.092075</x:v>
      </x:c>
      <x:c r="O6" s="130" t="n">
        <x:v>34000</x:v>
      </x:c>
      <x:c r="P6" s="130" t="n">
        <x:v>16000</x:v>
      </x:c>
      <x:c r="Q6" s="130" t="n">
        <x:v>7000</x:v>
      </x:c>
      <x:c r="R6" s="84" t="n">
        <x:f>N6+O6+P6+Q6</x:f>
        <x:v>75971.092075</x:v>
      </x:c>
      <x:c r="S6" s="68" t="n">
        <x:f>IFERROR(R6/I6,"")</x:f>
        <x:v>1.6233139332264956</x:v>
      </x:c>
      <x:c r="T6" s="68" t="n">
        <x:f>IFERROR(R6/(I6*F6),"")</x:f>
        <x:v>1.0822092888176638</x:v>
      </x:c>
      <x:c r="U6" s="13" t="str">
        <x:v>3.5t GVW large van; payload can reach about 2t depending on body/spec</x:v>
      </x:c>
      <x:c r="V6" s="13" t="str">
        <x:v>https://climate.ec.europa.eu/system/files/2017-03/hdv_lightweighting_en.pdf</x:v>
      </x:c>
      <x:c r="W6" s="13" t="str">
        <x:v>Editable</x:v>
      </x:c>
    </x:row>
    <x:row r="7" ht="26.399999618530273" hidden="0" customHeight="1">
      <x:c r="A7" s="47" t="str">
        <x:v>Light truck 7.5t</x:v>
      </x:c>
      <x:c r="B7" s="47" t="str">
        <x:v>Small rigid</x:v>
      </x:c>
      <x:c r="C7" s="122" t="n">
        <x:v>7.5</x:v>
      </x:c>
      <x:c r="D7" s="122" t="n">
        <x:v>3.5</x:v>
      </x:c>
      <x:c r="E7" s="90" t="n">
        <x:v>0.8</x:v>
      </x:c>
      <x:c r="F7" s="123" t="n">
        <x:f>D7*E7</x:f>
        <x:v>2.8000000000000003</x:v>
      </x:c>
      <x:c r="G7" s="126" t="n">
        <x:v>75000</x:v>
      </x:c>
      <x:c r="H7" s="90" t="n">
        <x:v>0.75</x:v>
      </x:c>
      <x:c r="I7" s="126" t="n">
        <x:f>G7*H7</x:f>
        <x:v>56250</x:v>
      </x:c>
      <x:c r="J7" s="128" t="n">
        <x:v>16</x:v>
      </x:c>
      <x:c r="K7" s="128" t="n">
        <x:f>'Inputs'!$C$11</x:f>
        <x:v>1.265524625</x:v>
      </x:c>
      <x:c r="L7" s="128" t="n">
        <x:f>J7/100*K7</x:f>
        <x:v>0.20248394000000003</x:v>
      </x:c>
      <x:c r="M7" s="128" t="n">
        <x:v>0.2</x:v>
      </x:c>
      <x:c r="N7" s="130" t="n">
        <x:f>(L7+M7)*G7</x:f>
        <x:v>30186.295500000004</x:v>
      </x:c>
      <x:c r="O7" s="130" t="n">
        <x:v>40000</x:v>
      </x:c>
      <x:c r="P7" s="130" t="n">
        <x:v>25000</x:v>
      </x:c>
      <x:c r="Q7" s="130" t="n">
        <x:v>10000</x:v>
      </x:c>
      <x:c r="R7" s="84" t="n">
        <x:f>N7+O7+P7+Q7</x:f>
        <x:v>105186.29550000001</x:v>
      </x:c>
      <x:c r="S7" s="68" t="n">
        <x:f>IFERROR(R7/I7,"")</x:f>
        <x:v>1.8699785866666667</x:v>
      </x:c>
      <x:c r="T7" s="68" t="n">
        <x:f>IFERROR(R7/(I7*F7),"")</x:f>
        <x:v>0.6678494952380951</x:v>
      </x:c>
      <x:c r="U7" s="13" t="str">
        <x:v>Operational class assumption; validate by vehicle body and national rules</x:v>
      </x:c>
      <x:c r="V7" s="13"/>
      <x:c r="W7" s="13" t="str">
        <x:v>Editable</x:v>
      </x:c>
    </x:row>
    <x:row r="8" ht="26.399999618530273" hidden="0" customHeight="1">
      <x:c r="A8" s="47" t="str">
        <x:v>Medium rigid 12t</x:v>
      </x:c>
      <x:c r="B8" s="47" t="str">
        <x:v>Rigid truck</x:v>
      </x:c>
      <x:c r="C8" s="122" t="n">
        <x:v>12</x:v>
      </x:c>
      <x:c r="D8" s="122" t="n">
        <x:v>6</x:v>
      </x:c>
      <x:c r="E8" s="90" t="n">
        <x:v>0.82</x:v>
      </x:c>
      <x:c r="F8" s="123" t="n">
        <x:f>D8*E8</x:f>
        <x:v>4.92</x:v>
      </x:c>
      <x:c r="G8" s="126" t="n">
        <x:v>80000</x:v>
      </x:c>
      <x:c r="H8" s="90" t="n">
        <x:v>0.78</x:v>
      </x:c>
      <x:c r="I8" s="126" t="n">
        <x:f>G8*H8</x:f>
        <x:v>62400</x:v>
      </x:c>
      <x:c r="J8" s="128" t="n">
        <x:v>22</x:v>
      </x:c>
      <x:c r="K8" s="128" t="n">
        <x:f>'Inputs'!$C$11</x:f>
        <x:v>1.265524625</x:v>
      </x:c>
      <x:c r="L8" s="128" t="n">
        <x:f>J8/100*K8</x:f>
        <x:v>0.27841541750000004</x:v>
      </x:c>
      <x:c r="M8" s="128" t="n">
        <x:v>0.27</x:v>
      </x:c>
      <x:c r="N8" s="130" t="n">
        <x:f>(L8+M8)*G8</x:f>
        <x:v>43873.2334</x:v>
      </x:c>
      <x:c r="O8" s="130" t="n">
        <x:v>43000</x:v>
      </x:c>
      <x:c r="P8" s="130" t="n">
        <x:v>38000</x:v>
      </x:c>
      <x:c r="Q8" s="130" t="n">
        <x:v>12000</x:v>
      </x:c>
      <x:c r="R8" s="84" t="n">
        <x:f>N8+O8+P8+Q8</x:f>
        <x:v>136873.2334</x:v>
      </x:c>
      <x:c r="S8" s="68" t="n">
        <x:f>IFERROR(R8/I8,"")</x:f>
        <x:v>2.1934813044871793</x:v>
      </x:c>
      <x:c r="T8" s="68" t="n">
        <x:f>IFERROR(R8/(I8*F8),"")</x:f>
        <x:v>0.44582953343235354</x:v>
      </x:c>
      <x:c r="U8" s="13" t="str">
        <x:v>Operational class assumption; payload depends on body and axle setup</x:v>
      </x:c>
      <x:c r="V8" s="13"/>
      <x:c r="W8" s="13" t="str">
        <x:v>Editable</x:v>
      </x:c>
    </x:row>
    <x:row r="9" ht="26.399999618530273" hidden="0" customHeight="1">
      <x:c r="A9" s="47" t="str">
        <x:v>Rigid truck 18t</x:v>
      </x:c>
      <x:c r="B9" s="47" t="str">
        <x:v>Rigid truck</x:v>
      </x:c>
      <x:c r="C9" s="122" t="n">
        <x:v>18</x:v>
      </x:c>
      <x:c r="D9" s="122" t="n">
        <x:v>9</x:v>
      </x:c>
      <x:c r="E9" s="90" t="n">
        <x:v>0.85</x:v>
      </x:c>
      <x:c r="F9" s="123" t="n">
        <x:f>D9*E9</x:f>
        <x:v>7.6499999999999995</x:v>
      </x:c>
      <x:c r="G9" s="126" t="n">
        <x:v>85000</x:v>
      </x:c>
      <x:c r="H9" s="90" t="n">
        <x:v>0.8</x:v>
      </x:c>
      <x:c r="I9" s="126" t="n">
        <x:f>G9*H9</x:f>
        <x:v>68000</x:v>
      </x:c>
      <x:c r="J9" s="128" t="n">
        <x:v>27</x:v>
      </x:c>
      <x:c r="K9" s="128" t="n">
        <x:f>'Inputs'!$C$11</x:f>
        <x:v>1.265524625</x:v>
      </x:c>
      <x:c r="L9" s="128" t="n">
        <x:f>J9/100*K9</x:f>
        <x:v>0.34169164875</x:v>
      </x:c>
      <x:c r="M9" s="128" t="n">
        <x:v>0.33</x:v>
      </x:c>
      <x:c r="N9" s="130" t="n">
        <x:f>(L9+M9)*G9</x:f>
        <x:v>57093.79014375</x:v>
      </x:c>
      <x:c r="O9" s="130" t="n">
        <x:v>46000</x:v>
      </x:c>
      <x:c r="P9" s="130" t="n">
        <x:v>52000</x:v>
      </x:c>
      <x:c r="Q9" s="130" t="n">
        <x:v>14000</x:v>
      </x:c>
      <x:c r="R9" s="84" t="n">
        <x:f>N9+O9+P9+Q9</x:f>
        <x:v>169093.79014375</x:v>
      </x:c>
      <x:c r="S9" s="68" t="n">
        <x:f>IFERROR(R9/I9,"")</x:f>
        <x:v>2.4866733844669118</x:v>
      </x:c>
      <x:c r="T9" s="68" t="n">
        <x:f>IFERROR(R9/(I9*F9),"")</x:f>
        <x:v>0.32505534437475975</x:v>
      </x:c>
      <x:c r="U9" s="13" t="str">
        <x:v>Operational class assumption; common distribution/retail class</x:v>
      </x:c>
      <x:c r="V9" s="13"/>
      <x:c r="W9" s="13" t="str">
        <x:v>Editable</x:v>
      </x:c>
    </x:row>
    <x:row r="10" ht="26.399999618530273" hidden="0" customHeight="1">
      <x:c r="A10" s="47" t="str">
        <x:v>Rigid truck 26t</x:v>
      </x:c>
      <x:c r="B10" s="47" t="str">
        <x:v>Heavy rigid</x:v>
      </x:c>
      <x:c r="C10" s="122" t="n">
        <x:v>26</x:v>
      </x:c>
      <x:c r="D10" s="122" t="n">
        <x:v>14</x:v>
      </x:c>
      <x:c r="E10" s="90" t="n">
        <x:v>0.85</x:v>
      </x:c>
      <x:c r="F10" s="123" t="n">
        <x:f>D10*E10</x:f>
        <x:v>11.9</x:v>
      </x:c>
      <x:c r="G10" s="126" t="n">
        <x:v>90000</x:v>
      </x:c>
      <x:c r="H10" s="90" t="n">
        <x:v>0.82</x:v>
      </x:c>
      <x:c r="I10" s="126" t="n">
        <x:f>G10*H10</x:f>
        <x:v>73800</x:v>
      </x:c>
      <x:c r="J10" s="128" t="n">
        <x:v>31</x:v>
      </x:c>
      <x:c r="K10" s="128" t="n">
        <x:f>'Inputs'!$C$11</x:f>
        <x:v>1.265524625</x:v>
      </x:c>
      <x:c r="L10" s="128" t="n">
        <x:f>J10/100*K10</x:f>
        <x:v>0.39231263375000003</x:v>
      </x:c>
      <x:c r="M10" s="128" t="n">
        <x:v>0.4</x:v>
      </x:c>
      <x:c r="N10" s="130" t="n">
        <x:f>(L10+M10)*G10</x:f>
        <x:v>71308.13703750001</x:v>
      </x:c>
      <x:c r="O10" s="130" t="n">
        <x:v>48000</x:v>
      </x:c>
      <x:c r="P10" s="130" t="n">
        <x:v>68000</x:v>
      </x:c>
      <x:c r="Q10" s="130" t="n">
        <x:v>16000</x:v>
      </x:c>
      <x:c r="R10" s="84" t="n">
        <x:f>N10+O10+P10+Q10</x:f>
        <x:v>203308.1370375</x:v>
      </x:c>
      <x:c r="S10" s="68" t="n">
        <x:f>IFERROR(R10/I10,"")</x:f>
        <x:v>2.754852805386179</x:v>
      </x:c>
      <x:c r="T10" s="68" t="n">
        <x:f>IFERROR(R10/(I10*F10),"")</x:f>
        <x:v>0.23150023574673773</x:v>
      </x:c>
      <x:c r="U10" s="13" t="str">
        <x:v>Operational class assumption; common 3-axle heavy rigid class</x:v>
      </x:c>
      <x:c r="V10" s="13"/>
      <x:c r="W10" s="13" t="str">
        <x:v>Editable</x:v>
      </x:c>
    </x:row>
    <x:row r="11" ht="26.399999618530273" hidden="0" customHeight="1">
      <x:c r="A11" s="47" t="str">
        <x:v>Articulated 40t</x:v>
      </x:c>
      <x:c r="B11" s="47" t="str">
        <x:v>Standard heavy artic</x:v>
      </x:c>
      <x:c r="C11" s="122" t="n">
        <x:v>40</x:v>
      </x:c>
      <x:c r="D11" s="122" t="n">
        <x:v>24</x:v>
      </x:c>
      <x:c r="E11" s="90" t="n">
        <x:v>0.868</x:v>
      </x:c>
      <x:c r="F11" s="123" t="n">
        <x:f>D11*E11</x:f>
        <x:v>20.832</x:v>
      </x:c>
      <x:c r="G11" s="126" t="n">
        <x:v>113100</x:v>
      </x:c>
      <x:c r="H11" s="90" t="n">
        <x:v>0.853</x:v>
      </x:c>
      <x:c r="I11" s="126" t="n">
        <x:f>G11*H11</x:f>
        <x:v>96474.3</x:v>
      </x:c>
      <x:c r="J11" s="128" t="n">
        <x:v>34.2</x:v>
      </x:c>
      <x:c r="K11" s="128" t="n">
        <x:f>'Inputs'!$C$11</x:f>
        <x:v>1.265524625</x:v>
      </x:c>
      <x:c r="L11" s="128" t="n">
        <x:f>J11/100*K11</x:f>
        <x:v>0.43280942175000003</x:v>
      </x:c>
      <x:c r="M11" s="128" t="n">
        <x:v>0.1716</x:v>
      </x:c>
      <x:c r="N11" s="130" t="n">
        <x:f>(L11+M11)*G11</x:f>
        <x:v>68358.705599925</x:v>
      </x:c>
      <x:c r="O11" s="130" t="n">
        <x:v>49674</x:v>
      </x:c>
      <x:c r="P11" s="130" t="n">
        <x:v>36095</x:v>
      </x:c>
      <x:c r="Q11" s="130" t="n">
        <x:v>0</x:v>
      </x:c>
      <x:c r="R11" s="84" t="n">
        <x:f>N11+O11+P11+Q11</x:f>
        <x:v>154127.70559992502</x:v>
      </x:c>
      <x:c r="S11" s="68" t="n">
        <x:f>IFERROR(R11/I11,"")</x:f>
        <x:v>1.5976037721955485</x:v>
      </x:c>
      <x:c r="T11" s="68" t="n">
        <x:f>IFERROR(R11/(I11*F11),"")</x:f>
        <x:v>0.0766898892182963</x:v>
      </x:c>
      <x:c r="U11" s="13" t="str">
        <x:v>Standard EU heavy-goods reference class; original model anchor</x:v>
      </x:c>
      <x:c r="V11" s="13" t="str">
        <x:v>https://ec.europa.eu/commission/presscorner/detail/en/MEMO_13_329</x:v>
      </x:c>
      <x:c r="W11" s="13" t="str">
        <x:v>Editable</x:v>
      </x:c>
    </x:row>
    <x:row r="12" ht="26.399999618530273" hidden="0" customHeight="1">
      <x:c r="A12" s="47" t="str">
        <x:v>Articulated 44t</x:v>
      </x:c>
      <x:c r="B12" s="47" t="str">
        <x:v>Intermodal / heavier permitted artic</x:v>
      </x:c>
      <x:c r="C12" s="122" t="n">
        <x:v>44</x:v>
      </x:c>
      <x:c r="D12" s="122" t="n">
        <x:v>28</x:v>
      </x:c>
      <x:c r="E12" s="90" t="n">
        <x:v>0.88</x:v>
      </x:c>
      <x:c r="F12" s="123" t="n">
        <x:f>D12*E12</x:f>
        <x:v>24.64</x:v>
      </x:c>
      <x:c r="G12" s="126" t="n">
        <x:v>113100</x:v>
      </x:c>
      <x:c r="H12" s="90" t="n">
        <x:v>0.86</x:v>
      </x:c>
      <x:c r="I12" s="126" t="n">
        <x:f>G12*H12</x:f>
        <x:v>97266</x:v>
      </x:c>
      <x:c r="J12" s="128" t="n">
        <x:v>35.5</x:v>
      </x:c>
      <x:c r="K12" s="128" t="n">
        <x:f>'Inputs'!$C$11</x:f>
        <x:v>1.265524625</x:v>
      </x:c>
      <x:c r="L12" s="128" t="n">
        <x:f>J12/100*K12</x:f>
        <x:v>0.449261241875</x:v>
      </x:c>
      <x:c r="M12" s="128" t="n">
        <x:v>0.18</x:v>
      </x:c>
      <x:c r="N12" s="130" t="n">
        <x:f>(L12+M12)*G12</x:f>
        <x:v>71169.4464560625</x:v>
      </x:c>
      <x:c r="O12" s="130" t="n">
        <x:v>50000</x:v>
      </x:c>
      <x:c r="P12" s="130" t="n">
        <x:v>39000</x:v>
      </x:c>
      <x:c r="Q12" s="130" t="n">
        <x:v>18000</x:v>
      </x:c>
      <x:c r="R12" s="84" t="n">
        <x:f>N12+O12+P12+Q12</x:f>
        <x:v>178169.4464560625</x:v>
      </x:c>
      <x:c r="S12" s="68" t="n">
        <x:f>IFERROR(R12/I12,"")</x:f>
        <x:v>1.8317751984872668</x:v>
      </x:c>
      <x:c r="T12" s="68" t="n">
        <x:f>IFERROR(R12/(I12*F12),"")</x:f>
        <x:v>0.07434152591263257</x:v>
      </x:c>
      <x:c r="U12" s="13" t="str">
        <x:v>44t only where rules allow, especially combined/intermodal transport</x:v>
      </x:c>
      <x:c r="V12" s="13" t="str">
        <x:v>https://ec.europa.eu/commission/presscorner/detail/en/MEMO_13_329</x:v>
      </x:c>
      <x:c r="W12" s="13" t="str">
        <x:v>Editable</x:v>
      </x:c>
    </x:row>
    <x:row r="13" ht="52.79999923706055" hidden="0" customHeight="1">
      <x:c r="A13" s="47" t="str">
        <x:v>EMS / high-capacity 60t</x:v>
      </x:c>
      <x:c r="B13" s="47" t="str">
        <x:v>Country/permit dependent EMS</x:v>
      </x:c>
      <x:c r="C13" s="122" t="n">
        <x:v>60</x:v>
      </x:c>
      <x:c r="D13" s="122" t="n">
        <x:v>38</x:v>
      </x:c>
      <x:c r="E13" s="90" t="n">
        <x:v>0.9</x:v>
      </x:c>
      <x:c r="F13" s="123" t="n">
        <x:f>D13*E13</x:f>
        <x:v>34.2</x:v>
      </x:c>
      <x:c r="G13" s="126" t="n">
        <x:v>115000</x:v>
      </x:c>
      <x:c r="H13" s="90" t="n">
        <x:v>0.88</x:v>
      </x:c>
      <x:c r="I13" s="126" t="n">
        <x:f>G13*H13</x:f>
        <x:v>101200</x:v>
      </x:c>
      <x:c r="J13" s="128" t="n">
        <x:v>45</x:v>
      </x:c>
      <x:c r="K13" s="128" t="n">
        <x:f>'Inputs'!$C$11</x:f>
        <x:v>1.265524625</x:v>
      </x:c>
      <x:c r="L13" s="128" t="n">
        <x:f>J13/100*K13</x:f>
        <x:v>0.56948608125</x:v>
      </x:c>
      <x:c r="M13" s="128" t="n">
        <x:v>0.23</x:v>
      </x:c>
      <x:c r="N13" s="130" t="n">
        <x:f>(L13+M13)*G13</x:f>
        <x:v>91940.89934375</x:v>
      </x:c>
      <x:c r="O13" s="130" t="n">
        <x:v>53000</x:v>
      </x:c>
      <x:c r="P13" s="130" t="n">
        <x:v>60000</x:v>
      </x:c>
      <x:c r="Q13" s="130" t="n">
        <x:v>22000</x:v>
      </x:c>
      <x:c r="R13" s="84" t="n">
        <x:f>N13+O13+P13+Q13</x:f>
        <x:v>226940.89934375</x:v>
      </x:c>
      <x:c r="S13" s="68" t="n">
        <x:f>IFERROR(R13/I13,"")</x:f>
        <x:v>2.242499005373024</x:v>
      </x:c>
      <x:c r="T13" s="68" t="n">
        <x:f>IFERROR(R13/(I13*F13),"")</x:f>
        <x:v>0.06557014635593636</x:v>
      </x:c>
      <x:c r="U13" s="13" t="str">
        <x:v>Not universal EU-wide; EMS/high-capacity combinations are country/route dependent</x:v>
      </x:c>
      <x:c r="V13" s="13" t="str">
        <x:v>https://transport.ec.europa.eu/document/download/45e1073e-373a-4156-966b-0523915dec9f_en?filename=SWD_2023_70_implementation_report_amendments_dir_96_53.pdf</x:v>
      </x:c>
      <x:c r="W13" s="13" t="str">
        <x:v>Editable</x:v>
      </x:c>
    </x:row>
    <x:row r="14" ht="15" hidden="0" customHeight="1">
      <x:c r="A14" s="132"/>
      <x:c r="B14" s="132"/>
      <x:c r="C14" s="132"/>
      <x:c r="D14" s="132"/>
      <x:c r="E14" s="132"/>
      <x:c r="F14" s="132"/>
      <x:c r="G14" s="132"/>
      <x:c r="H14" s="132"/>
      <x:c r="I14" s="132"/>
      <x:c r="J14" s="132"/>
      <x:c r="K14" s="132"/>
      <x:c r="L14" s="132"/>
      <x:c r="M14" s="132"/>
      <x:c r="N14" s="132"/>
      <x:c r="O14" s="132"/>
      <x:c r="P14" s="132"/>
      <x:c r="Q14" s="132"/>
      <x:c r="R14" s="132"/>
      <x:c r="S14" s="132"/>
      <x:c r="T14" s="132"/>
      <x:c r="U14" s="13"/>
      <x:c r="V14" s="13"/>
      <x:c r="W14" s="13"/>
    </x:row>
    <x:row r="15" ht="118.80000305175781" hidden="0" customHeight="1">
      <x:c r="A15" s="132" t="str">
        <x:v>Note: cost values by truck class are modelling placeholders to make the sensitivity engine work. Replace with actual lease/depreciation, insurance, fuel, toll and driver cost data for commercial decisions.</x:v>
      </x:c>
      <x:c r="B15" s="132"/>
      <x:c r="C15" s="132"/>
      <x:c r="D15" s="132"/>
      <x:c r="E15" s="132"/>
      <x:c r="F15" s="132"/>
      <x:c r="G15" s="132"/>
      <x:c r="H15" s="132"/>
      <x:c r="I15" s="132"/>
      <x:c r="J15" s="132"/>
      <x:c r="K15" s="132"/>
      <x:c r="L15" s="132"/>
      <x:c r="M15" s="132"/>
      <x:c r="N15" s="132"/>
      <x:c r="O15" s="132"/>
      <x:c r="P15" s="132"/>
      <x:c r="Q15" s="132"/>
      <x:c r="R15" s="132"/>
      <x:c r="S15" s="132"/>
      <x:c r="T15" s="132"/>
      <x:c r="U15" s="132"/>
      <x:c r="V15" s="132"/>
      <x:c r="W15" s="132"/>
    </x:row>
  </x:sheetData>
  <x:mergeCells>
    <x:mergeCell ref="A1:W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60" hidden="0" customWidth="1"/>
    <x:col min="15" max="15" width="52" hidden="0" customWidth="1"/>
    <x:col min="16" max="16" width="52" hidden="0" customWidth="1"/>
    <x:col min="17" max="17" width="52" hidden="0" customWidth="1"/>
    <x:col min="18" max="18" width="20" hidden="0" customWidth="1"/>
  </x:cols>
  <x:sheetData>
    <x:row r="1" ht="57.599998474121094" hidden="0" customHeight="1">
      <x:c r="A1" s="87" t="str">
        <x:v>Country / jurisdiction</x:v>
      </x:c>
      <x:c r="B1" s="87" t="str">
        <x:v>Currency</x:v>
      </x:c>
      <x:c r="C1" s="87" t="str">
        <x:v>Default VAT registered</x:v>
      </x:c>
      <x:c r="D1" s="87" t="str">
        <x:v>Standard VAT rate</x:v>
      </x:c>
      <x:c r="E1" s="87" t="str">
        <x:v>Corporate / business income tax rate</x:v>
      </x:c>
      <x:c r="F1" s="87" t="str">
        <x:v>Local / trade business tax rate</x:v>
      </x:c>
      <x:c r="G1" s="87" t="str">
        <x:v>Effective business tax rate</x:v>
      </x:c>
      <x:c r="H1" s="87" t="str">
        <x:v>Employer payroll contribution rate</x:v>
      </x:c>
      <x:c r="I1" s="87" t="str">
        <x:v>Employee contribution rate</x:v>
      </x:c>
      <x:c r="J1" s="87" t="str">
        <x:v>Default vehicle tax / truck / year</x:v>
      </x:c>
      <x:c r="K1" s="87" t="str">
        <x:v>Default target after-tax margin</x:v>
      </x:c>
      <x:c r="L1" s="87" t="str">
        <x:v>Default company type</x:v>
      </x:c>
      <x:c r="M1" s="87" t="str">
        <x:v>Default business model</x:v>
      </x:c>
      <x:c r="N1" s="87" t="str">
        <x:v>Modelling note</x:v>
      </x:c>
      <x:c r="O1" s="87" t="str">
        <x:v>VAT source URL</x:v>
      </x:c>
      <x:c r="P1" s="87" t="str">
        <x:v>Corporate tax source URL</x:v>
      </x:c>
      <x:c r="Q1" s="87" t="str">
        <x:v>Payroll source URL</x:v>
      </x:c>
      <x:c r="R1" s="87" t="str">
        <x:v>As-of</x:v>
      </x:c>
    </x:row>
    <x:row r="2" ht="39.599998474121094" hidden="0" customHeight="1">
      <x:c r="A2" s="47" t="str">
        <x:v>Austria</x:v>
      </x:c>
      <x:c r="B2" s="47" t="str">
        <x:v>EUR</x:v>
      </x:c>
      <x:c r="C2" s="47" t="str">
        <x:v>Yes</x:v>
      </x:c>
      <x:c r="D2" s="90" t="n">
        <x:v>0.2</x:v>
      </x:c>
      <x:c r="E2" s="90" t="n">
        <x:v>0.23</x:v>
      </x:c>
      <x:c r="F2" s="90" t="n">
        <x:v>0</x:v>
      </x:c>
      <x:c r="G2" s="90" t="n">
        <x:v>0.23</x:v>
      </x:c>
      <x:c r="H2" s="90" t="n">
        <x:v>0.2098</x:v>
      </x:c>
      <x:c r="I2" s="90" t="n">
        <x:v>0.1807</x:v>
      </x:c>
      <x:c r="J2" s="90" t="n">
        <x:v>800</x:v>
      </x:c>
      <x:c r="K2" s="90" t="n">
        <x:v>0.1</x:v>
      </x:c>
      <x:c r="L2" s="47" t="str">
        <x:v>GmbH</x:v>
      </x:c>
      <x:c r="M2" s="47" t="str">
        <x:v>Fleet operator</x:v>
      </x:c>
      <x:c r="N2" s="13" t="str">
        <x:v>Corporate rate used for GmbH/AG. Sole traders are subject to progressive personal income tax; validate separately. Vehicle tax is indicative and should be replaced with vehicle-specific Austrian motor/tax data.</x:v>
      </x:c>
      <x:c r="O2" s="13" t="str">
        <x:v>https://www.usp.gv.at/en/themen/steuern-finanzen/umsatzsteuer-ueberblick/steuersaetze-und-steuerbefreiungen-der-umsatzsteuer.html</x:v>
      </x:c>
      <x:c r="P2" s="13" t="str">
        <x:v>https://www.usp.gv.at/en/themen/steuern-finanzen/koerperschaftsteuer-ueberblick.html</x:v>
      </x:c>
      <x:c r="Q2" s="13" t="str">
        <x:v>https://taxsummaries.pwc.com/austria/individual/other-taxes</x:v>
      </x:c>
      <x:c r="R2" s="13" t="str">
        <x:v>2026-05</x:v>
      </x:c>
    </x:row>
    <x:row r="3" ht="39.599998474121094" hidden="0" customHeight="1">
      <x:c r="A3" s="47" t="str">
        <x:v>Germany</x:v>
      </x:c>
      <x:c r="B3" s="47" t="str">
        <x:v>EUR</x:v>
      </x:c>
      <x:c r="C3" s="47" t="str">
        <x:v>Yes</x:v>
      </x:c>
      <x:c r="D3" s="90" t="n">
        <x:v>0.19</x:v>
      </x:c>
      <x:c r="E3" s="90" t="n">
        <x:v>0.15825</x:v>
      </x:c>
      <x:c r="F3" s="90" t="n">
        <x:v>0.14</x:v>
      </x:c>
      <x:c r="G3" s="90" t="n">
        <x:v>0.29825</x:v>
      </x:c>
      <x:c r="H3" s="90" t="n">
        <x:v>0.1942</x:v>
      </x:c>
      <x:c r="I3" s="90" t="n">
        <x:v>0.1933</x:v>
      </x:c>
      <x:c r="J3" s="90" t="n">
        <x:v>900</x:v>
      </x:c>
      <x:c r="K3" s="90" t="n">
        <x:v>0.1</x:v>
      </x:c>
      <x:c r="L3" s="47" t="str">
        <x:v>GmbH</x:v>
      </x:c>
      <x:c r="M3" s="47" t="str">
        <x:v>Fleet operator</x:v>
      </x:c>
      <x:c r="N3" s="13" t="str">
        <x:v>Corporate tax includes 15% Körperschaftsteuer plus 5.5% solidarity surcharge on CIT. Trade tax is municipal; 14% is an average modelling proxy and should be replaced with the exact municipality rate.</x:v>
      </x:c>
      <x:c r="O3" s="13" t="str">
        <x:v>https://taxation-customs.ec.europa.eu/taxation/vat/vat-directive/vat-rates_en</x:v>
      </x:c>
      <x:c r="P3" s="13" t="str">
        <x:v>https://taxsummaries.pwc.com/germany/corporate/taxes-on-corporate-income</x:v>
      </x:c>
      <x:c r="Q3" s="13" t="str">
        <x:v>https://taxsummaries.pwc.com/germany/individual/other-taxes</x:v>
      </x:c>
      <x:c r="R3" s="13" t="str">
        <x:v>2026-05</x:v>
      </x:c>
    </x:row>
    <x:row r="4" ht="39.599998474121094" hidden="0" customHeight="1">
      <x:c r="A4" s="47" t="str">
        <x:v>Romania</x:v>
      </x:c>
      <x:c r="B4" s="47" t="str">
        <x:v>RON/EUR</x:v>
      </x:c>
      <x:c r="C4" s="47" t="str">
        <x:v>Yes</x:v>
      </x:c>
      <x:c r="D4" s="90" t="n">
        <x:v>0.21</x:v>
      </x:c>
      <x:c r="E4" s="90" t="n">
        <x:v>0.16</x:v>
      </x:c>
      <x:c r="F4" s="90" t="n">
        <x:v>0</x:v>
      </x:c>
      <x:c r="G4" s="90" t="n">
        <x:v>0.16</x:v>
      </x:c>
      <x:c r="H4" s="90" t="n">
        <x:v>0.0225</x:v>
      </x:c>
      <x:c r="I4" s="90" t="n">
        <x:v>0.35</x:v>
      </x:c>
      <x:c r="J4" s="90" t="n">
        <x:v>500</x:v>
      </x:c>
      <x:c r="K4" s="90" t="n">
        <x:v>0.1</x:v>
      </x:c>
      <x:c r="L4" s="47" t="str">
        <x:v>SRL</x:v>
      </x:c>
      <x:c r="M4" s="47" t="str">
        <x:v>Fleet operator</x:v>
      </x:c>
      <x:c r="N4" s="13" t="str">
        <x:v>Standard CIT used for SRL/SA. Micro-company turnover tax regimes and special working-condition contributions are not modelled by default. VAT standard rate increased to 21% from 1 August 2025.</x:v>
      </x:c>
      <x:c r="O4" s="13" t="str">
        <x:v>https://www.ey.com/en_gl/technical/tax-alerts/romanian-tax-changes-introduced-by-new-fiscal-and-budgetary-measures</x:v>
      </x:c>
      <x:c r="P4" s="13" t="str">
        <x:v>https://www.accace.com/tax-guideline-for-romania/</x:v>
      </x:c>
      <x:c r="Q4" s="13" t="str">
        <x:v>https://taxsummaries.pwc.com/romania/individual/other-taxes</x:v>
      </x:c>
      <x:c r="R4" s="13" t="str">
        <x:v>2026-05</x:v>
      </x:c>
    </x:row>
    <x:row r="5" ht="39.599998474121094" hidden="0" customHeight="1">
      <x:c r="A5" s="47" t="str">
        <x:v>Hungary</x:v>
      </x:c>
      <x:c r="B5" s="47" t="str">
        <x:v>HUF/EUR</x:v>
      </x:c>
      <x:c r="C5" s="47" t="str">
        <x:v>Yes</x:v>
      </x:c>
      <x:c r="D5" s="90" t="n">
        <x:v>0.27</x:v>
      </x:c>
      <x:c r="E5" s="90" t="n">
        <x:v>0.09</x:v>
      </x:c>
      <x:c r="F5" s="90" t="n">
        <x:v>0.02</x:v>
      </x:c>
      <x:c r="G5" s="90" t="n">
        <x:v>0.11</x:v>
      </x:c>
      <x:c r="H5" s="90" t="n">
        <x:v>0.13</x:v>
      </x:c>
      <x:c r="I5" s="90" t="n">
        <x:v>0.185</x:v>
      </x:c>
      <x:c r="J5" s="90" t="n">
        <x:v>500</x:v>
      </x:c>
      <x:c r="K5" s="90" t="n">
        <x:v>0.1</x:v>
      </x:c>
      <x:c r="L5" s="47" t="str">
        <x:v>Kft.</x:v>
      </x:c>
      <x:c r="M5" s="47" t="str">
        <x:v>Fleet operator</x:v>
      </x:c>
      <x:c r="N5" s="13" t="str">
        <x:v>Local business tax can be up to 2% and is not an EBIT tax; the model uses it as a simplified profit-tax proxy for pricing sensitivity. Validate with municipality and accountant.</x:v>
      </x:c>
      <x:c r="O5" s="13" t="str">
        <x:v>https://taxation-customs.ec.europa.eu/taxation/vat/vat-directive/vat-rates_en</x:v>
      </x:c>
      <x:c r="P5" s="13" t="str">
        <x:v>https://taxsummaries.pwc.com/hungary/corporate/taxes-on-corporate-income</x:v>
      </x:c>
      <x:c r="Q5" s="13" t="str">
        <x:v>https://taxsummaries.pwc.com/hungary/individual/other-taxes</x:v>
      </x:c>
      <x:c r="R5" s="13" t="str">
        <x:v>2026-05</x:v>
      </x:c>
    </x:row>
    <x:row r="6" ht="39.599998474121094" hidden="0" customHeight="1">
      <x:c r="A6" s="47" t="str">
        <x:v>Bulgaria</x:v>
      </x:c>
      <x:c r="B6" s="47" t="str">
        <x:v>BGN/EUR</x:v>
      </x:c>
      <x:c r="C6" s="47" t="str">
        <x:v>Yes</x:v>
      </x:c>
      <x:c r="D6" s="90" t="n">
        <x:v>0.2</x:v>
      </x:c>
      <x:c r="E6" s="90" t="n">
        <x:v>0.1</x:v>
      </x:c>
      <x:c r="F6" s="90" t="n">
        <x:v>0</x:v>
      </x:c>
      <x:c r="G6" s="90" t="n">
        <x:v>0.1</x:v>
      </x:c>
      <x:c r="H6" s="90" t="n">
        <x:v>0.193</x:v>
      </x:c>
      <x:c r="I6" s="90" t="n">
        <x:v>0.1378</x:v>
      </x:c>
      <x:c r="J6" s="90" t="n">
        <x:v>400</x:v>
      </x:c>
      <x:c r="K6" s="90" t="n">
        <x:v>0.1</x:v>
      </x:c>
      <x:c r="L6" s="47" t="str">
        <x:v>EOOD/OOD</x:v>
      </x:c>
      <x:c r="M6" s="47" t="str">
        <x:v>Fleet operator</x:v>
      </x:c>
      <x:c r="N6" s="13" t="str">
        <x:v>Flat 10% CIT used. Employer contribution uses mid-point of published 2026 range; actual rate depends on activity class and caps. No provincial/local corporate income tax.</x:v>
      </x:c>
      <x:c r="O6" s="13" t="str">
        <x:v>https://taxsummaries.pwc.com/bulgaria/corporate/other-taxes</x:v>
      </x:c>
      <x:c r="P6" s="13" t="str">
        <x:v>https://taxsummaries.pwc.com/bulgaria/corporate/taxes-on-corporate-income</x:v>
      </x:c>
      <x:c r="Q6" s="13" t="str">
        <x:v>https://taxsummaries.pwc.com/bulgaria/individual/other-taxes</x:v>
      </x:c>
      <x:c r="R6" s="13" t="str">
        <x:v>2026-05</x:v>
      </x:c>
    </x:row>
    <x:row r="7" ht="39.599998474121094" hidden="0" customHeight="1">
      <x:c r="A7" s="47" t="str">
        <x:v>Czechia</x:v>
      </x:c>
      <x:c r="B7" s="47" t="str">
        <x:v>CZK/EUR</x:v>
      </x:c>
      <x:c r="C7" s="47" t="str">
        <x:v>Yes</x:v>
      </x:c>
      <x:c r="D7" s="90" t="n">
        <x:v>0.21</x:v>
      </x:c>
      <x:c r="E7" s="90" t="n">
        <x:v>0.21</x:v>
      </x:c>
      <x:c r="F7" s="90" t="n">
        <x:v>0</x:v>
      </x:c>
      <x:c r="G7" s="90" t="n">
        <x:v>0.21</x:v>
      </x:c>
      <x:c r="H7" s="90" t="n">
        <x:v>0.338</x:v>
      </x:c>
      <x:c r="I7" s="90" t="n">
        <x:v>0.116</x:v>
      </x:c>
      <x:c r="J7" s="90" t="n">
        <x:v>550</x:v>
      </x:c>
      <x:c r="K7" s="90" t="n">
        <x:v>0.1</x:v>
      </x:c>
      <x:c r="L7" s="47" t="str">
        <x:v>s.r.o.</x:v>
      </x:c>
      <x:c r="M7" s="47" t="str">
        <x:v>Fleet operator</x:v>
      </x:c>
      <x:c r="N7" s="13" t="str">
        <x:v>Standard corporate rate used for s.r.o./a.s. Employer contribution combines 24.8% social security and 9% health insurance. Vehicle tax is indicative.</x:v>
      </x:c>
      <x:c r="O7" s="13" t="str">
        <x:v>https://taxation-customs.ec.europa.eu/taxation/vat/vat-directive/vat-rates_en</x:v>
      </x:c>
      <x:c r="P7" s="13" t="str">
        <x:v>https://portal.gov.cz/en/informace/what-is-the-corporate-income-tax-rate-INF-329</x:v>
      </x:c>
      <x:c r="Q7" s="13" t="str">
        <x:v>https://taxsummaries.pwc.com/czech-republic/individual/other-taxes</x:v>
      </x:c>
      <x:c r="R7" s="13" t="str">
        <x:v>2026-05</x:v>
      </x:c>
    </x:row>
    <x:row r="8" ht="39.599998474121094" hidden="0" customHeight="1">
      <x:c r="A8" s="47" t="str">
        <x:v>Slovakia</x:v>
      </x:c>
      <x:c r="B8" s="47" t="str">
        <x:v>EUR</x:v>
      </x:c>
      <x:c r="C8" s="47" t="str">
        <x:v>Yes</x:v>
      </x:c>
      <x:c r="D8" s="90" t="n">
        <x:v>0.23</x:v>
      </x:c>
      <x:c r="E8" s="90" t="n">
        <x:v>0.21</x:v>
      </x:c>
      <x:c r="F8" s="90" t="n">
        <x:v>0</x:v>
      </x:c>
      <x:c r="G8" s="90" t="n">
        <x:v>0.21</x:v>
      </x:c>
      <x:c r="H8" s="90" t="n">
        <x:v>0.362</x:v>
      </x:c>
      <x:c r="I8" s="90" t="n">
        <x:v>0.144</x:v>
      </x:c>
      <x:c r="J8" s="90" t="n">
        <x:v>550</x:v>
      </x:c>
      <x:c r="K8" s="90" t="n">
        <x:v>0.1</x:v>
      </x:c>
      <x:c r="L8" s="47" t="str">
        <x:v>s.r.o.</x:v>
      </x:c>
      <x:c r="M8" s="47" t="str">
        <x:v>Fleet operator</x:v>
      </x:c>
      <x:c r="N8" s="13" t="str">
        <x:v>Default CIT rate assumes taxable income above EUR 100k and up to EUR 5m. 10% micro and 24% high-income bands may apply. Employer contributions total 36.2% in 2026.</x:v>
      </x:c>
      <x:c r="O8" s="13" t="str">
        <x:v>https://taxsummaries.pwc.com/slovak-republic/corporate/other-taxes</x:v>
      </x:c>
      <x:c r="P8" s="13" t="str">
        <x:v>https://www.accace.com/tax-guideline-for-slovakia/</x:v>
      </x:c>
      <x:c r="Q8" s="13" t="str">
        <x:v>https://taxsummaries.pwc.com/slovak-republic/corporate/other-taxes</x:v>
      </x:c>
      <x:c r="R8" s="13" t="str">
        <x:v>2026-05</x:v>
      </x:c>
    </x:row>
    <x:row r="9" ht="26.399999618530273" hidden="0" customHeight="1">
      <x:c r="A9" s="47" t="str">
        <x:v>Manual / Custom</x:v>
      </x:c>
      <x:c r="B9" s="47" t="str">
        <x:v>EUR</x:v>
      </x:c>
      <x:c r="C9" s="47" t="str">
        <x:v>No</x:v>
      </x:c>
      <x:c r="D9" s="90" t="n">
        <x:v>0</x:v>
      </x:c>
      <x:c r="E9" s="90" t="n">
        <x:v>0</x:v>
      </x:c>
      <x:c r="F9" s="90" t="n">
        <x:v>0</x:v>
      </x:c>
      <x:c r="G9" s="90" t="n">
        <x:v>0</x:v>
      </x:c>
      <x:c r="H9" s="90" t="n">
        <x:v>0</x:v>
      </x:c>
      <x:c r="I9" s="90" t="n">
        <x:v>0</x:v>
      </x:c>
      <x:c r="J9" s="90" t="n">
        <x:v>0</x:v>
      </x:c>
      <x:c r="K9" s="90" t="n">
        <x:v>0.1</x:v>
      </x:c>
      <x:c r="L9" s="47" t="str">
        <x:v>Manual entity</x:v>
      </x:c>
      <x:c r="M9" s="47" t="str">
        <x:v>Fleet operator</x:v>
      </x:c>
      <x:c r="N9" s="13" t="str">
        <x:v>Use this option when the jurisdiction or exact legal entity is not included. Replace all default rates manually before using the model commercially.</x:v>
      </x:c>
      <x:c r="O9" s="13" t="str">
        <x:v>Manual input</x:v>
      </x:c>
      <x:c r="P9" s="13" t="str">
        <x:v>Manual input</x:v>
      </x:c>
      <x:c r="Q9" s="13" t="str">
        <x:v>Manual input</x:v>
      </x:c>
      <x:c r="R9" s="13" t="str">
        <x:v>2026-05</x:v>
      </x:c>
    </x:row>
  </x:sheetData>
  <x:mergeCells>
    <x:mergeCell ref="A1:R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15" hidden="0" customHeight="1">
      <x:c r="A1" s="22" t="str">
        <x:v>Country / jurisdiction</x:v>
      </x:c>
      <x:c r="B1" s="22" t="str">
        <x:v>Company type 1</x:v>
      </x:c>
      <x:c r="C1" s="22" t="str">
        <x:v>Company type 2</x:v>
      </x:c>
      <x:c r="D1" s="22" t="str">
        <x:v>Company type 3</x:v>
      </x:c>
      <x:c r="E1" s="22" t="str">
        <x:v>Company type 4</x:v>
      </x:c>
      <x:c r="F1" s="22" t="str">
        <x:v>Company type 5</x:v>
      </x:c>
      <x:c r="G1" s="22"/>
      <x:c r="H1" s="22" t="str">
        <x:v>Business model 1</x:v>
      </x:c>
      <x:c r="I1" s="22" t="str">
        <x:v>Business model 2</x:v>
      </x:c>
      <x:c r="J1" s="22" t="str">
        <x:v>Business model 3</x:v>
      </x:c>
      <x:c r="K1" s="22" t="str">
        <x:v>Business model 4</x:v>
      </x:c>
      <x:c r="L1" s="22" t="str">
        <x:v>Business model 5</x:v>
      </x:c>
    </x:row>
    <x:row r="2" ht="15" hidden="0" customHeight="1">
      <x:c r="A2" s="47" t="str">
        <x:v>Austria</x:v>
      </x:c>
      <x:c r="B2" s="47" t="str">
        <x:v>Einzelunternehmen</x:v>
      </x:c>
      <x:c r="C2" s="47" t="str">
        <x:v>GmbH</x:v>
      </x:c>
      <x:c r="D2" s="47" t="str">
        <x:v>AG</x:v>
      </x:c>
      <x:c r="E2" s="47" t="str">
        <x:v>Branch / PE</x:v>
      </x:c>
      <x:c r="F2" s="47"/>
      <x:c r="G2" s="47"/>
      <x:c r="H2" s="47" t="str">
        <x:v>Owner-operator</x:v>
      </x:c>
      <x:c r="I2" s="47" t="str">
        <x:v>Fleet operator</x:v>
      </x:c>
      <x:c r="J2" s="47" t="str">
        <x:v>Subcontractor</x:v>
      </x:c>
      <x:c r="K2" s="47" t="str">
        <x:v>Mixed</x:v>
      </x:c>
      <x:c r="L2" s="47" t="str">
        <x:v>Carrier with subcontractors</x:v>
      </x:c>
    </x:row>
    <x:row r="3" ht="15" hidden="0" customHeight="1">
      <x:c r="A3" s="47" t="str">
        <x:v>Germany</x:v>
      </x:c>
      <x:c r="B3" s="47" t="str">
        <x:v>Einzelunternehmen</x:v>
      </x:c>
      <x:c r="C3" s="47" t="str">
        <x:v>UG</x:v>
      </x:c>
      <x:c r="D3" s="47" t="str">
        <x:v>GmbH</x:v>
      </x:c>
      <x:c r="E3" s="47" t="str">
        <x:v>AG</x:v>
      </x:c>
      <x:c r="F3" s="47" t="str">
        <x:v>Branch / PE</x:v>
      </x:c>
      <x:c r="G3" s="47"/>
      <x:c r="H3" s="47" t="str">
        <x:v>Owner-operator</x:v>
      </x:c>
      <x:c r="I3" s="47" t="str">
        <x:v>Fleet operator</x:v>
      </x:c>
      <x:c r="J3" s="47" t="str">
        <x:v>Subcontractor</x:v>
      </x:c>
      <x:c r="K3" s="47" t="str">
        <x:v>Mixed</x:v>
      </x:c>
      <x:c r="L3" s="47" t="str">
        <x:v>Carrier with subcontractors</x:v>
      </x:c>
    </x:row>
    <x:row r="4" ht="15" hidden="0" customHeight="1">
      <x:c r="A4" s="47" t="str">
        <x:v>Romania</x:v>
      </x:c>
      <x:c r="B4" s="47" t="str">
        <x:v>PFA / II</x:v>
      </x:c>
      <x:c r="C4" s="47" t="str">
        <x:v>SRL</x:v>
      </x:c>
      <x:c r="D4" s="47" t="str">
        <x:v>SA</x:v>
      </x:c>
      <x:c r="E4" s="47" t="str">
        <x:v>Branch / PE</x:v>
      </x:c>
      <x:c r="F4" s="47"/>
      <x:c r="G4" s="47"/>
      <x:c r="H4" s="47" t="str">
        <x:v>Owner-operator</x:v>
      </x:c>
      <x:c r="I4" s="47" t="str">
        <x:v>Fleet operator</x:v>
      </x:c>
      <x:c r="J4" s="47" t="str">
        <x:v>Subcontractor</x:v>
      </x:c>
      <x:c r="K4" s="47" t="str">
        <x:v>Mixed</x:v>
      </x:c>
      <x:c r="L4" s="47" t="str">
        <x:v>Carrier with subcontractors</x:v>
      </x:c>
    </x:row>
    <x:row r="5" ht="15" hidden="0" customHeight="1">
      <x:c r="A5" s="47" t="str">
        <x:v>Hungary</x:v>
      </x:c>
      <x:c r="B5" s="47" t="str">
        <x:v>Egyéni vállalkozó</x:v>
      </x:c>
      <x:c r="C5" s="47" t="str">
        <x:v>Kft.</x:v>
      </x:c>
      <x:c r="D5" s="47" t="str">
        <x:v>Zrt. / Nyrt.</x:v>
      </x:c>
      <x:c r="E5" s="47" t="str">
        <x:v>Branch / PE</x:v>
      </x:c>
      <x:c r="F5" s="47"/>
      <x:c r="G5" s="47"/>
      <x:c r="H5" s="47" t="str">
        <x:v>Owner-operator</x:v>
      </x:c>
      <x:c r="I5" s="47" t="str">
        <x:v>Fleet operator</x:v>
      </x:c>
      <x:c r="J5" s="47" t="str">
        <x:v>Subcontractor</x:v>
      </x:c>
      <x:c r="K5" s="47" t="str">
        <x:v>Mixed</x:v>
      </x:c>
      <x:c r="L5" s="47" t="str">
        <x:v>Carrier with subcontractors</x:v>
      </x:c>
    </x:row>
    <x:row r="6" ht="15" hidden="0" customHeight="1">
      <x:c r="A6" s="47" t="str">
        <x:v>Bulgaria</x:v>
      </x:c>
      <x:c r="B6" s="47" t="str">
        <x:v>ET</x:v>
      </x:c>
      <x:c r="C6" s="47" t="str">
        <x:v>EOOD/OOD</x:v>
      </x:c>
      <x:c r="D6" s="47" t="str">
        <x:v>AD</x:v>
      </x:c>
      <x:c r="E6" s="47" t="str">
        <x:v>Branch / PE</x:v>
      </x:c>
      <x:c r="F6" s="47"/>
      <x:c r="G6" s="47"/>
      <x:c r="H6" s="47" t="str">
        <x:v>Owner-operator</x:v>
      </x:c>
      <x:c r="I6" s="47" t="str">
        <x:v>Fleet operator</x:v>
      </x:c>
      <x:c r="J6" s="47" t="str">
        <x:v>Subcontractor</x:v>
      </x:c>
      <x:c r="K6" s="47" t="str">
        <x:v>Mixed</x:v>
      </x:c>
      <x:c r="L6" s="47" t="str">
        <x:v>Carrier with subcontractors</x:v>
      </x:c>
    </x:row>
    <x:row r="7" ht="15" hidden="0" customHeight="1">
      <x:c r="A7" s="47" t="str">
        <x:v>Czechia</x:v>
      </x:c>
      <x:c r="B7" s="47" t="str">
        <x:v>OSVČ</x:v>
      </x:c>
      <x:c r="C7" s="47" t="str">
        <x:v>s.r.o.</x:v>
      </x:c>
      <x:c r="D7" s="47" t="str">
        <x:v>a.s.</x:v>
      </x:c>
      <x:c r="E7" s="47" t="str">
        <x:v>Branch / PE</x:v>
      </x:c>
      <x:c r="F7" s="47"/>
      <x:c r="G7" s="47"/>
      <x:c r="H7" s="47" t="str">
        <x:v>Owner-operator</x:v>
      </x:c>
      <x:c r="I7" s="47" t="str">
        <x:v>Fleet operator</x:v>
      </x:c>
      <x:c r="J7" s="47" t="str">
        <x:v>Subcontractor</x:v>
      </x:c>
      <x:c r="K7" s="47" t="str">
        <x:v>Mixed</x:v>
      </x:c>
      <x:c r="L7" s="47" t="str">
        <x:v>Carrier with subcontractors</x:v>
      </x:c>
    </x:row>
    <x:row r="8" ht="15" hidden="0" customHeight="1">
      <x:c r="A8" s="47" t="str">
        <x:v>Slovakia</x:v>
      </x:c>
      <x:c r="B8" s="47" t="str">
        <x:v>živnostník</x:v>
      </x:c>
      <x:c r="C8" s="47" t="str">
        <x:v>s.r.o.</x:v>
      </x:c>
      <x:c r="D8" s="47" t="str">
        <x:v>a.s.</x:v>
      </x:c>
      <x:c r="E8" s="47" t="str">
        <x:v>Branch / PE</x:v>
      </x:c>
      <x:c r="F8" s="47"/>
      <x:c r="G8" s="47"/>
      <x:c r="H8" s="47" t="str">
        <x:v>Owner-operator</x:v>
      </x:c>
      <x:c r="I8" s="47" t="str">
        <x:v>Fleet operator</x:v>
      </x:c>
      <x:c r="J8" s="47" t="str">
        <x:v>Subcontractor</x:v>
      </x:c>
      <x:c r="K8" s="47" t="str">
        <x:v>Mixed</x:v>
      </x:c>
      <x:c r="L8" s="47" t="str">
        <x:v>Carrier with subcontractors</x:v>
      </x:c>
    </x:row>
    <x:row r="9" ht="15" hidden="0" customHeight="1">
      <x:c r="A9" s="47" t="str">
        <x:v>Manual / Custom</x:v>
      </x:c>
      <x:c r="B9" s="47" t="str">
        <x:v>Manual entity</x:v>
      </x:c>
      <x:c r="C9" s="47"/>
      <x:c r="D9" s="47"/>
      <x:c r="E9" s="47"/>
      <x:c r="F9" s="47"/>
      <x:c r="G9" s="47"/>
      <x:c r="H9" s="47" t="str">
        <x:v>Owner-operator</x:v>
      </x:c>
      <x:c r="I9" s="47" t="str">
        <x:v>Fleet operator</x:v>
      </x:c>
      <x:c r="J9" s="47" t="str">
        <x:v>Subcontractor</x:v>
      </x:c>
      <x:c r="K9" s="47" t="str">
        <x:v>Mixed</x:v>
      </x:c>
      <x:c r="L9" s="47" t="str">
        <x:v>Carrier with subcontractors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16" hidden="0" customWidth="1"/>
  </x:cols>
  <x:sheetData>
    <x:row r="1" ht="15" hidden="0" customHeight="1">
      <x:c r="A1" s="22" t="str">
        <x:v>Country / jurisdiction</x:v>
      </x:c>
      <x:c r="B1" s="22" t="str">
        <x:v>Company type</x:v>
      </x:c>
      <x:c r="C1" s="22" t="str">
        <x:v>Business model</x:v>
      </x:c>
      <x:c r="D1" s="22" t="str">
        <x:v>Status</x:v>
      </x:c>
    </x:row>
    <x:row r="2" ht="15" hidden="0" customHeight="1">
      <x:c r="A2" s="47" t="str">
        <x:v>Austria</x:v>
      </x:c>
      <x:c r="B2" s="47" t="str">
        <x:v>Einzelunternehmen</x:v>
      </x:c>
      <x:c r="C2" s="47" t="str">
        <x:v>Owner-operator</x:v>
      </x:c>
      <x:c r="D2" s="47" t="str">
        <x:v>Available</x:v>
      </x:c>
    </x:row>
    <x:row r="3" ht="15" hidden="0" customHeight="1">
      <x:c r="A3" s="47" t="str">
        <x:v>Austria</x:v>
      </x:c>
      <x:c r="B3" s="47" t="str">
        <x:v>Einzelunternehmen</x:v>
      </x:c>
      <x:c r="C3" s="47" t="str">
        <x:v>Fleet operator</x:v>
      </x:c>
      <x:c r="D3" s="47" t="str">
        <x:v>Available</x:v>
      </x:c>
    </x:row>
    <x:row r="4" ht="15" hidden="0" customHeight="1">
      <x:c r="A4" s="47" t="str">
        <x:v>Austria</x:v>
      </x:c>
      <x:c r="B4" s="47" t="str">
        <x:v>Einzelunternehmen</x:v>
      </x:c>
      <x:c r="C4" s="47" t="str">
        <x:v>Subcontractor</x:v>
      </x:c>
      <x:c r="D4" s="47" t="str">
        <x:v>Available</x:v>
      </x:c>
    </x:row>
    <x:row r="5" ht="15" hidden="0" customHeight="1">
      <x:c r="A5" s="47" t="str">
        <x:v>Austria</x:v>
      </x:c>
      <x:c r="B5" s="47" t="str">
        <x:v>Einzelunternehmen</x:v>
      </x:c>
      <x:c r="C5" s="47" t="str">
        <x:v>Mixed</x:v>
      </x:c>
      <x:c r="D5" s="47" t="str">
        <x:v>Available</x:v>
      </x:c>
    </x:row>
    <x:row r="6" ht="15" hidden="0" customHeight="1">
      <x:c r="A6" s="47" t="str">
        <x:v>Austria</x:v>
      </x:c>
      <x:c r="B6" s="47" t="str">
        <x:v>Einzelunternehmen</x:v>
      </x:c>
      <x:c r="C6" s="47" t="str">
        <x:v>Carrier with subcontractors</x:v>
      </x:c>
      <x:c r="D6" s="47" t="str">
        <x:v>Available</x:v>
      </x:c>
    </x:row>
    <x:row r="7" ht="15" hidden="0" customHeight="1">
      <x:c r="A7" s="47" t="str">
        <x:v>Austria</x:v>
      </x:c>
      <x:c r="B7" s="47" t="str">
        <x:v>GmbH</x:v>
      </x:c>
      <x:c r="C7" s="47" t="str">
        <x:v>Owner-operator</x:v>
      </x:c>
      <x:c r="D7" s="47" t="str">
        <x:v>Available</x:v>
      </x:c>
    </x:row>
    <x:row r="8" ht="15" hidden="0" customHeight="1">
      <x:c r="A8" s="47" t="str">
        <x:v>Austria</x:v>
      </x:c>
      <x:c r="B8" s="47" t="str">
        <x:v>GmbH</x:v>
      </x:c>
      <x:c r="C8" s="47" t="str">
        <x:v>Fleet operator</x:v>
      </x:c>
      <x:c r="D8" s="47" t="str">
        <x:v>Available</x:v>
      </x:c>
    </x:row>
    <x:row r="9" ht="15" hidden="0" customHeight="1">
      <x:c r="A9" s="47" t="str">
        <x:v>Austria</x:v>
      </x:c>
      <x:c r="B9" s="47" t="str">
        <x:v>GmbH</x:v>
      </x:c>
      <x:c r="C9" s="47" t="str">
        <x:v>Subcontractor</x:v>
      </x:c>
      <x:c r="D9" s="47" t="str">
        <x:v>Available</x:v>
      </x:c>
    </x:row>
    <x:row r="10" ht="15" hidden="0" customHeight="1">
      <x:c r="A10" s="47" t="str">
        <x:v>Austria</x:v>
      </x:c>
      <x:c r="B10" s="47" t="str">
        <x:v>GmbH</x:v>
      </x:c>
      <x:c r="C10" s="47" t="str">
        <x:v>Mixed</x:v>
      </x:c>
      <x:c r="D10" s="47" t="str">
        <x:v>Available</x:v>
      </x:c>
    </x:row>
    <x:row r="11" ht="15" hidden="0" customHeight="1">
      <x:c r="A11" s="47" t="str">
        <x:v>Austria</x:v>
      </x:c>
      <x:c r="B11" s="47" t="str">
        <x:v>GmbH</x:v>
      </x:c>
      <x:c r="C11" s="47" t="str">
        <x:v>Carrier with subcontractors</x:v>
      </x:c>
      <x:c r="D11" s="47" t="str">
        <x:v>Available</x:v>
      </x:c>
    </x:row>
    <x:row r="12" ht="15" hidden="0" customHeight="1">
      <x:c r="A12" s="47" t="str">
        <x:v>Austria</x:v>
      </x:c>
      <x:c r="B12" s="47" t="str">
        <x:v>AG</x:v>
      </x:c>
      <x:c r="C12" s="47" t="str">
        <x:v>Owner-operator</x:v>
      </x:c>
      <x:c r="D12" s="47" t="str">
        <x:v>Available</x:v>
      </x:c>
    </x:row>
    <x:row r="13" ht="15" hidden="0" customHeight="1">
      <x:c r="A13" s="47" t="str">
        <x:v>Austria</x:v>
      </x:c>
      <x:c r="B13" s="47" t="str">
        <x:v>AG</x:v>
      </x:c>
      <x:c r="C13" s="47" t="str">
        <x:v>Fleet operator</x:v>
      </x:c>
      <x:c r="D13" s="47" t="str">
        <x:v>Available</x:v>
      </x:c>
    </x:row>
    <x:row r="14" ht="15" hidden="0" customHeight="1">
      <x:c r="A14" s="47" t="str">
        <x:v>Austria</x:v>
      </x:c>
      <x:c r="B14" s="47" t="str">
        <x:v>AG</x:v>
      </x:c>
      <x:c r="C14" s="47" t="str">
        <x:v>Subcontractor</x:v>
      </x:c>
      <x:c r="D14" s="47" t="str">
        <x:v>Available</x:v>
      </x:c>
    </x:row>
    <x:row r="15" ht="15" hidden="0" customHeight="1">
      <x:c r="A15" s="47" t="str">
        <x:v>Austria</x:v>
      </x:c>
      <x:c r="B15" s="47" t="str">
        <x:v>AG</x:v>
      </x:c>
      <x:c r="C15" s="47" t="str">
        <x:v>Mixed</x:v>
      </x:c>
      <x:c r="D15" s="47" t="str">
        <x:v>Available</x:v>
      </x:c>
    </x:row>
    <x:row r="16" ht="15" hidden="0" customHeight="1">
      <x:c r="A16" s="47" t="str">
        <x:v>Austria</x:v>
      </x:c>
      <x:c r="B16" s="47" t="str">
        <x:v>AG</x:v>
      </x:c>
      <x:c r="C16" s="47" t="str">
        <x:v>Carrier with subcontractors</x:v>
      </x:c>
      <x:c r="D16" s="47" t="str">
        <x:v>Available</x:v>
      </x:c>
    </x:row>
    <x:row r="17" ht="15" hidden="0" customHeight="1">
      <x:c r="A17" s="47" t="str">
        <x:v>Austria</x:v>
      </x:c>
      <x:c r="B17" s="47" t="str">
        <x:v>Branch / PE</x:v>
      </x:c>
      <x:c r="C17" s="47" t="str">
        <x:v>Owner-operator</x:v>
      </x:c>
      <x:c r="D17" s="47" t="str">
        <x:v>Available</x:v>
      </x:c>
    </x:row>
    <x:row r="18" ht="15" hidden="0" customHeight="1">
      <x:c r="A18" s="47" t="str">
        <x:v>Austria</x:v>
      </x:c>
      <x:c r="B18" s="47" t="str">
        <x:v>Branch / PE</x:v>
      </x:c>
      <x:c r="C18" s="47" t="str">
        <x:v>Fleet operator</x:v>
      </x:c>
      <x:c r="D18" s="47" t="str">
        <x:v>Available</x:v>
      </x:c>
    </x:row>
    <x:row r="19" ht="15" hidden="0" customHeight="1">
      <x:c r="A19" s="47" t="str">
        <x:v>Austria</x:v>
      </x:c>
      <x:c r="B19" s="47" t="str">
        <x:v>Branch / PE</x:v>
      </x:c>
      <x:c r="C19" s="47" t="str">
        <x:v>Subcontractor</x:v>
      </x:c>
      <x:c r="D19" s="47" t="str">
        <x:v>Available</x:v>
      </x:c>
    </x:row>
    <x:row r="20" ht="15" hidden="0" customHeight="1">
      <x:c r="A20" s="47" t="str">
        <x:v>Austria</x:v>
      </x:c>
      <x:c r="B20" s="47" t="str">
        <x:v>Branch / PE</x:v>
      </x:c>
      <x:c r="C20" s="47" t="str">
        <x:v>Mixed</x:v>
      </x:c>
      <x:c r="D20" s="47" t="str">
        <x:v>Available</x:v>
      </x:c>
    </x:row>
    <x:row r="21" ht="15" hidden="0" customHeight="1">
      <x:c r="A21" s="47" t="str">
        <x:v>Austria</x:v>
      </x:c>
      <x:c r="B21" s="47" t="str">
        <x:v>Branch / PE</x:v>
      </x:c>
      <x:c r="C21" s="47" t="str">
        <x:v>Carrier with subcontractors</x:v>
      </x:c>
      <x:c r="D21" s="47" t="str">
        <x:v>Available</x:v>
      </x:c>
    </x:row>
    <x:row r="22" ht="15" hidden="0" customHeight="1">
      <x:c r="A22" s="47" t="str">
        <x:v>Germany</x:v>
      </x:c>
      <x:c r="B22" s="47" t="str">
        <x:v>Einzelunternehmen</x:v>
      </x:c>
      <x:c r="C22" s="47" t="str">
        <x:v>Owner-operator</x:v>
      </x:c>
      <x:c r="D22" s="47" t="str">
        <x:v>Available</x:v>
      </x:c>
    </x:row>
    <x:row r="23" ht="15" hidden="0" customHeight="1">
      <x:c r="A23" s="47" t="str">
        <x:v>Germany</x:v>
      </x:c>
      <x:c r="B23" s="47" t="str">
        <x:v>Einzelunternehmen</x:v>
      </x:c>
      <x:c r="C23" s="47" t="str">
        <x:v>Fleet operator</x:v>
      </x:c>
      <x:c r="D23" s="47" t="str">
        <x:v>Available</x:v>
      </x:c>
    </x:row>
    <x:row r="24" ht="15" hidden="0" customHeight="1">
      <x:c r="A24" s="47" t="str">
        <x:v>Germany</x:v>
      </x:c>
      <x:c r="B24" s="47" t="str">
        <x:v>Einzelunternehmen</x:v>
      </x:c>
      <x:c r="C24" s="47" t="str">
        <x:v>Subcontractor</x:v>
      </x:c>
      <x:c r="D24" s="47" t="str">
        <x:v>Available</x:v>
      </x:c>
    </x:row>
    <x:row r="25" ht="15" hidden="0" customHeight="1">
      <x:c r="A25" s="47" t="str">
        <x:v>Germany</x:v>
      </x:c>
      <x:c r="B25" s="47" t="str">
        <x:v>Einzelunternehmen</x:v>
      </x:c>
      <x:c r="C25" s="47" t="str">
        <x:v>Mixed</x:v>
      </x:c>
      <x:c r="D25" s="47" t="str">
        <x:v>Available</x:v>
      </x:c>
    </x:row>
    <x:row r="26" ht="15" hidden="0" customHeight="1">
      <x:c r="A26" s="47" t="str">
        <x:v>Germany</x:v>
      </x:c>
      <x:c r="B26" s="47" t="str">
        <x:v>Einzelunternehmen</x:v>
      </x:c>
      <x:c r="C26" s="47" t="str">
        <x:v>Carrier with subcontractors</x:v>
      </x:c>
      <x:c r="D26" s="47" t="str">
        <x:v>Available</x:v>
      </x:c>
    </x:row>
    <x:row r="27" ht="15" hidden="0" customHeight="1">
      <x:c r="A27" s="47" t="str">
        <x:v>Germany</x:v>
      </x:c>
      <x:c r="B27" s="47" t="str">
        <x:v>UG</x:v>
      </x:c>
      <x:c r="C27" s="47" t="str">
        <x:v>Owner-operator</x:v>
      </x:c>
      <x:c r="D27" s="47" t="str">
        <x:v>Available</x:v>
      </x:c>
    </x:row>
    <x:row r="28" ht="15" hidden="0" customHeight="1">
      <x:c r="A28" s="47" t="str">
        <x:v>Germany</x:v>
      </x:c>
      <x:c r="B28" s="47" t="str">
        <x:v>UG</x:v>
      </x:c>
      <x:c r="C28" s="47" t="str">
        <x:v>Fleet operator</x:v>
      </x:c>
      <x:c r="D28" s="47" t="str">
        <x:v>Available</x:v>
      </x:c>
    </x:row>
    <x:row r="29" ht="15" hidden="0" customHeight="1">
      <x:c r="A29" s="47" t="str">
        <x:v>Germany</x:v>
      </x:c>
      <x:c r="B29" s="47" t="str">
        <x:v>UG</x:v>
      </x:c>
      <x:c r="C29" s="47" t="str">
        <x:v>Subcontractor</x:v>
      </x:c>
      <x:c r="D29" s="47" t="str">
        <x:v>Available</x:v>
      </x:c>
    </x:row>
    <x:row r="30" ht="15" hidden="0" customHeight="1">
      <x:c r="A30" s="47" t="str">
        <x:v>Germany</x:v>
      </x:c>
      <x:c r="B30" s="47" t="str">
        <x:v>UG</x:v>
      </x:c>
      <x:c r="C30" s="47" t="str">
        <x:v>Mixed</x:v>
      </x:c>
      <x:c r="D30" s="47" t="str">
        <x:v>Available</x:v>
      </x:c>
    </x:row>
    <x:row r="31" ht="15" hidden="0" customHeight="1">
      <x:c r="A31" s="47" t="str">
        <x:v>Germany</x:v>
      </x:c>
      <x:c r="B31" s="47" t="str">
        <x:v>UG</x:v>
      </x:c>
      <x:c r="C31" s="47" t="str">
        <x:v>Carrier with subcontractors</x:v>
      </x:c>
      <x:c r="D31" s="47" t="str">
        <x:v>Available</x:v>
      </x:c>
    </x:row>
    <x:row r="32" ht="15" hidden="0" customHeight="1">
      <x:c r="A32" s="47" t="str">
        <x:v>Germany</x:v>
      </x:c>
      <x:c r="B32" s="47" t="str">
        <x:v>GmbH</x:v>
      </x:c>
      <x:c r="C32" s="47" t="str">
        <x:v>Owner-operator</x:v>
      </x:c>
      <x:c r="D32" s="47" t="str">
        <x:v>Available</x:v>
      </x:c>
    </x:row>
    <x:row r="33" ht="15" hidden="0" customHeight="1">
      <x:c r="A33" s="47" t="str">
        <x:v>Germany</x:v>
      </x:c>
      <x:c r="B33" s="47" t="str">
        <x:v>GmbH</x:v>
      </x:c>
      <x:c r="C33" s="47" t="str">
        <x:v>Fleet operator</x:v>
      </x:c>
      <x:c r="D33" s="47" t="str">
        <x:v>Available</x:v>
      </x:c>
    </x:row>
    <x:row r="34" ht="15" hidden="0" customHeight="1">
      <x:c r="A34" s="47" t="str">
        <x:v>Germany</x:v>
      </x:c>
      <x:c r="B34" s="47" t="str">
        <x:v>GmbH</x:v>
      </x:c>
      <x:c r="C34" s="47" t="str">
        <x:v>Subcontractor</x:v>
      </x:c>
      <x:c r="D34" s="47" t="str">
        <x:v>Available</x:v>
      </x:c>
    </x:row>
    <x:row r="35" ht="15" hidden="0" customHeight="1">
      <x:c r="A35" s="47" t="str">
        <x:v>Germany</x:v>
      </x:c>
      <x:c r="B35" s="47" t="str">
        <x:v>GmbH</x:v>
      </x:c>
      <x:c r="C35" s="47" t="str">
        <x:v>Mixed</x:v>
      </x:c>
      <x:c r="D35" s="47" t="str">
        <x:v>Available</x:v>
      </x:c>
    </x:row>
    <x:row r="36" ht="15" hidden="0" customHeight="1">
      <x:c r="A36" s="47" t="str">
        <x:v>Germany</x:v>
      </x:c>
      <x:c r="B36" s="47" t="str">
        <x:v>GmbH</x:v>
      </x:c>
      <x:c r="C36" s="47" t="str">
        <x:v>Carrier with subcontractors</x:v>
      </x:c>
      <x:c r="D36" s="47" t="str">
        <x:v>Available</x:v>
      </x:c>
    </x:row>
    <x:row r="37" ht="15" hidden="0" customHeight="1">
      <x:c r="A37" s="47" t="str">
        <x:v>Germany</x:v>
      </x:c>
      <x:c r="B37" s="47" t="str">
        <x:v>AG</x:v>
      </x:c>
      <x:c r="C37" s="47" t="str">
        <x:v>Owner-operator</x:v>
      </x:c>
      <x:c r="D37" s="47" t="str">
        <x:v>Available</x:v>
      </x:c>
    </x:row>
    <x:row r="38" ht="15" hidden="0" customHeight="1">
      <x:c r="A38" s="47" t="str">
        <x:v>Germany</x:v>
      </x:c>
      <x:c r="B38" s="47" t="str">
        <x:v>AG</x:v>
      </x:c>
      <x:c r="C38" s="47" t="str">
        <x:v>Fleet operator</x:v>
      </x:c>
      <x:c r="D38" s="47" t="str">
        <x:v>Available</x:v>
      </x:c>
    </x:row>
    <x:row r="39" ht="15" hidden="0" customHeight="1">
      <x:c r="A39" s="47" t="str">
        <x:v>Germany</x:v>
      </x:c>
      <x:c r="B39" s="47" t="str">
        <x:v>AG</x:v>
      </x:c>
      <x:c r="C39" s="47" t="str">
        <x:v>Subcontractor</x:v>
      </x:c>
      <x:c r="D39" s="47" t="str">
        <x:v>Available</x:v>
      </x:c>
    </x:row>
    <x:row r="40" ht="15" hidden="0" customHeight="1">
      <x:c r="A40" s="47" t="str">
        <x:v>Germany</x:v>
      </x:c>
      <x:c r="B40" s="47" t="str">
        <x:v>AG</x:v>
      </x:c>
      <x:c r="C40" s="47" t="str">
        <x:v>Mixed</x:v>
      </x:c>
      <x:c r="D40" s="47" t="str">
        <x:v>Available</x:v>
      </x:c>
    </x:row>
    <x:row r="41" ht="15" hidden="0" customHeight="1">
      <x:c r="A41" s="47" t="str">
        <x:v>Germany</x:v>
      </x:c>
      <x:c r="B41" s="47" t="str">
        <x:v>AG</x:v>
      </x:c>
      <x:c r="C41" s="47" t="str">
        <x:v>Carrier with subcontractors</x:v>
      </x:c>
      <x:c r="D41" s="47" t="str">
        <x:v>Available</x:v>
      </x:c>
    </x:row>
    <x:row r="42" ht="15" hidden="0" customHeight="1">
      <x:c r="A42" s="47" t="str">
        <x:v>Germany</x:v>
      </x:c>
      <x:c r="B42" s="47" t="str">
        <x:v>Branch / PE</x:v>
      </x:c>
      <x:c r="C42" s="47" t="str">
        <x:v>Owner-operator</x:v>
      </x:c>
      <x:c r="D42" s="47" t="str">
        <x:v>Available</x:v>
      </x:c>
    </x:row>
    <x:row r="43" ht="15" hidden="0" customHeight="1">
      <x:c r="A43" s="47" t="str">
        <x:v>Germany</x:v>
      </x:c>
      <x:c r="B43" s="47" t="str">
        <x:v>Branch / PE</x:v>
      </x:c>
      <x:c r="C43" s="47" t="str">
        <x:v>Fleet operator</x:v>
      </x:c>
      <x:c r="D43" s="47" t="str">
        <x:v>Available</x:v>
      </x:c>
    </x:row>
    <x:row r="44" ht="15" hidden="0" customHeight="1">
      <x:c r="A44" s="47" t="str">
        <x:v>Germany</x:v>
      </x:c>
      <x:c r="B44" s="47" t="str">
        <x:v>Branch / PE</x:v>
      </x:c>
      <x:c r="C44" s="47" t="str">
        <x:v>Subcontractor</x:v>
      </x:c>
      <x:c r="D44" s="47" t="str">
        <x:v>Available</x:v>
      </x:c>
    </x:row>
    <x:row r="45" ht="15" hidden="0" customHeight="1">
      <x:c r="A45" s="47" t="str">
        <x:v>Germany</x:v>
      </x:c>
      <x:c r="B45" s="47" t="str">
        <x:v>Branch / PE</x:v>
      </x:c>
      <x:c r="C45" s="47" t="str">
        <x:v>Mixed</x:v>
      </x:c>
      <x:c r="D45" s="47" t="str">
        <x:v>Available</x:v>
      </x:c>
    </x:row>
    <x:row r="46" ht="15" hidden="0" customHeight="1">
      <x:c r="A46" s="47" t="str">
        <x:v>Germany</x:v>
      </x:c>
      <x:c r="B46" s="47" t="str">
        <x:v>Branch / PE</x:v>
      </x:c>
      <x:c r="C46" s="47" t="str">
        <x:v>Carrier with subcontractors</x:v>
      </x:c>
      <x:c r="D46" s="47" t="str">
        <x:v>Available</x:v>
      </x:c>
    </x:row>
    <x:row r="47" ht="15" hidden="0" customHeight="1">
      <x:c r="A47" s="47" t="str">
        <x:v>Romania</x:v>
      </x:c>
      <x:c r="B47" s="47" t="str">
        <x:v>PFA / II</x:v>
      </x:c>
      <x:c r="C47" s="47" t="str">
        <x:v>Owner-operator</x:v>
      </x:c>
      <x:c r="D47" s="47" t="str">
        <x:v>Available</x:v>
      </x:c>
    </x:row>
    <x:row r="48" ht="15" hidden="0" customHeight="1">
      <x:c r="A48" s="47" t="str">
        <x:v>Romania</x:v>
      </x:c>
      <x:c r="B48" s="47" t="str">
        <x:v>PFA / II</x:v>
      </x:c>
      <x:c r="C48" s="47" t="str">
        <x:v>Fleet operator</x:v>
      </x:c>
      <x:c r="D48" s="47" t="str">
        <x:v>Available</x:v>
      </x:c>
    </x:row>
    <x:row r="49" ht="15" hidden="0" customHeight="1">
      <x:c r="A49" s="47" t="str">
        <x:v>Romania</x:v>
      </x:c>
      <x:c r="B49" s="47" t="str">
        <x:v>PFA / II</x:v>
      </x:c>
      <x:c r="C49" s="47" t="str">
        <x:v>Subcontractor</x:v>
      </x:c>
      <x:c r="D49" s="47" t="str">
        <x:v>Available</x:v>
      </x:c>
    </x:row>
    <x:row r="50" ht="15" hidden="0" customHeight="1">
      <x:c r="A50" s="47" t="str">
        <x:v>Romania</x:v>
      </x:c>
      <x:c r="B50" s="47" t="str">
        <x:v>PFA / II</x:v>
      </x:c>
      <x:c r="C50" s="47" t="str">
        <x:v>Mixed</x:v>
      </x:c>
      <x:c r="D50" s="47" t="str">
        <x:v>Available</x:v>
      </x:c>
    </x:row>
    <x:row r="51" ht="15" hidden="0" customHeight="1">
      <x:c r="A51" s="47" t="str">
        <x:v>Romania</x:v>
      </x:c>
      <x:c r="B51" s="47" t="str">
        <x:v>PFA / II</x:v>
      </x:c>
      <x:c r="C51" s="47" t="str">
        <x:v>Carrier with subcontractors</x:v>
      </x:c>
      <x:c r="D51" s="47" t="str">
        <x:v>Available</x:v>
      </x:c>
    </x:row>
    <x:row r="52" ht="15" hidden="0" customHeight="1">
      <x:c r="A52" s="47" t="str">
        <x:v>Romania</x:v>
      </x:c>
      <x:c r="B52" s="47" t="str">
        <x:v>SRL</x:v>
      </x:c>
      <x:c r="C52" s="47" t="str">
        <x:v>Owner-operator</x:v>
      </x:c>
      <x:c r="D52" s="47" t="str">
        <x:v>Available</x:v>
      </x:c>
    </x:row>
    <x:row r="53" ht="15" hidden="0" customHeight="1">
      <x:c r="A53" s="47" t="str">
        <x:v>Romania</x:v>
      </x:c>
      <x:c r="B53" s="47" t="str">
        <x:v>SRL</x:v>
      </x:c>
      <x:c r="C53" s="47" t="str">
        <x:v>Fleet operator</x:v>
      </x:c>
      <x:c r="D53" s="47" t="str">
        <x:v>Available</x:v>
      </x:c>
    </x:row>
    <x:row r="54" ht="15" hidden="0" customHeight="1">
      <x:c r="A54" s="47" t="str">
        <x:v>Romania</x:v>
      </x:c>
      <x:c r="B54" s="47" t="str">
        <x:v>SRL</x:v>
      </x:c>
      <x:c r="C54" s="47" t="str">
        <x:v>Subcontractor</x:v>
      </x:c>
      <x:c r="D54" s="47" t="str">
        <x:v>Available</x:v>
      </x:c>
    </x:row>
    <x:row r="55" ht="15" hidden="0" customHeight="1">
      <x:c r="A55" s="47" t="str">
        <x:v>Romania</x:v>
      </x:c>
      <x:c r="B55" s="47" t="str">
        <x:v>SRL</x:v>
      </x:c>
      <x:c r="C55" s="47" t="str">
        <x:v>Mixed</x:v>
      </x:c>
      <x:c r="D55" s="47" t="str">
        <x:v>Available</x:v>
      </x:c>
    </x:row>
    <x:row r="56" ht="15" hidden="0" customHeight="1">
      <x:c r="A56" s="47" t="str">
        <x:v>Romania</x:v>
      </x:c>
      <x:c r="B56" s="47" t="str">
        <x:v>SRL</x:v>
      </x:c>
      <x:c r="C56" s="47" t="str">
        <x:v>Carrier with subcontractors</x:v>
      </x:c>
      <x:c r="D56" s="47" t="str">
        <x:v>Available</x:v>
      </x:c>
    </x:row>
    <x:row r="57" ht="15" hidden="0" customHeight="1">
      <x:c r="A57" s="47" t="str">
        <x:v>Romania</x:v>
      </x:c>
      <x:c r="B57" s="47" t="str">
        <x:v>SA</x:v>
      </x:c>
      <x:c r="C57" s="47" t="str">
        <x:v>Owner-operator</x:v>
      </x:c>
      <x:c r="D57" s="47" t="str">
        <x:v>Available</x:v>
      </x:c>
    </x:row>
    <x:row r="58" ht="15" hidden="0" customHeight="1">
      <x:c r="A58" s="47" t="str">
        <x:v>Romania</x:v>
      </x:c>
      <x:c r="B58" s="47" t="str">
        <x:v>SA</x:v>
      </x:c>
      <x:c r="C58" s="47" t="str">
        <x:v>Fleet operator</x:v>
      </x:c>
      <x:c r="D58" s="47" t="str">
        <x:v>Available</x:v>
      </x:c>
    </x:row>
    <x:row r="59" ht="15" hidden="0" customHeight="1">
      <x:c r="A59" s="47" t="str">
        <x:v>Romania</x:v>
      </x:c>
      <x:c r="B59" s="47" t="str">
        <x:v>SA</x:v>
      </x:c>
      <x:c r="C59" s="47" t="str">
        <x:v>Subcontractor</x:v>
      </x:c>
      <x:c r="D59" s="47" t="str">
        <x:v>Available</x:v>
      </x:c>
    </x:row>
    <x:row r="60" ht="15" hidden="0" customHeight="1">
      <x:c r="A60" s="47" t="str">
        <x:v>Romania</x:v>
      </x:c>
      <x:c r="B60" s="47" t="str">
        <x:v>SA</x:v>
      </x:c>
      <x:c r="C60" s="47" t="str">
        <x:v>Mixed</x:v>
      </x:c>
      <x:c r="D60" s="47" t="str">
        <x:v>Available</x:v>
      </x:c>
    </x:row>
    <x:row r="61" ht="15" hidden="0" customHeight="1">
      <x:c r="A61" s="47" t="str">
        <x:v>Romania</x:v>
      </x:c>
      <x:c r="B61" s="47" t="str">
        <x:v>SA</x:v>
      </x:c>
      <x:c r="C61" s="47" t="str">
        <x:v>Carrier with subcontractors</x:v>
      </x:c>
      <x:c r="D61" s="47" t="str">
        <x:v>Available</x:v>
      </x:c>
    </x:row>
    <x:row r="62" ht="15" hidden="0" customHeight="1">
      <x:c r="A62" s="47" t="str">
        <x:v>Romania</x:v>
      </x:c>
      <x:c r="B62" s="47" t="str">
        <x:v>Branch / PE</x:v>
      </x:c>
      <x:c r="C62" s="47" t="str">
        <x:v>Owner-operator</x:v>
      </x:c>
      <x:c r="D62" s="47" t="str">
        <x:v>Available</x:v>
      </x:c>
    </x:row>
    <x:row r="63" ht="15" hidden="0" customHeight="1">
      <x:c r="A63" s="47" t="str">
        <x:v>Romania</x:v>
      </x:c>
      <x:c r="B63" s="47" t="str">
        <x:v>Branch / PE</x:v>
      </x:c>
      <x:c r="C63" s="47" t="str">
        <x:v>Fleet operator</x:v>
      </x:c>
      <x:c r="D63" s="47" t="str">
        <x:v>Available</x:v>
      </x:c>
    </x:row>
    <x:row r="64" ht="15" hidden="0" customHeight="1">
      <x:c r="A64" s="47" t="str">
        <x:v>Romania</x:v>
      </x:c>
      <x:c r="B64" s="47" t="str">
        <x:v>Branch / PE</x:v>
      </x:c>
      <x:c r="C64" s="47" t="str">
        <x:v>Subcontractor</x:v>
      </x:c>
      <x:c r="D64" s="47" t="str">
        <x:v>Available</x:v>
      </x:c>
    </x:row>
    <x:row r="65" ht="15" hidden="0" customHeight="1">
      <x:c r="A65" s="47" t="str">
        <x:v>Romania</x:v>
      </x:c>
      <x:c r="B65" s="47" t="str">
        <x:v>Branch / PE</x:v>
      </x:c>
      <x:c r="C65" s="47" t="str">
        <x:v>Mixed</x:v>
      </x:c>
      <x:c r="D65" s="47" t="str">
        <x:v>Available</x:v>
      </x:c>
    </x:row>
    <x:row r="66" ht="15" hidden="0" customHeight="1">
      <x:c r="A66" s="47" t="str">
        <x:v>Romania</x:v>
      </x:c>
      <x:c r="B66" s="47" t="str">
        <x:v>Branch / PE</x:v>
      </x:c>
      <x:c r="C66" s="47" t="str">
        <x:v>Carrier with subcontractors</x:v>
      </x:c>
      <x:c r="D66" s="47" t="str">
        <x:v>Available</x:v>
      </x:c>
    </x:row>
    <x:row r="67" ht="15" hidden="0" customHeight="1">
      <x:c r="A67" s="47" t="str">
        <x:v>Hungary</x:v>
      </x:c>
      <x:c r="B67" s="47" t="str">
        <x:v>Egyéni vállalkozó</x:v>
      </x:c>
      <x:c r="C67" s="47" t="str">
        <x:v>Owner-operator</x:v>
      </x:c>
      <x:c r="D67" s="47" t="str">
        <x:v>Available</x:v>
      </x:c>
    </x:row>
    <x:row r="68" ht="15" hidden="0" customHeight="1">
      <x:c r="A68" s="47" t="str">
        <x:v>Hungary</x:v>
      </x:c>
      <x:c r="B68" s="47" t="str">
        <x:v>Egyéni vállalkozó</x:v>
      </x:c>
      <x:c r="C68" s="47" t="str">
        <x:v>Fleet operator</x:v>
      </x:c>
      <x:c r="D68" s="47" t="str">
        <x:v>Available</x:v>
      </x:c>
    </x:row>
    <x:row r="69" ht="15" hidden="0" customHeight="1">
      <x:c r="A69" s="47" t="str">
        <x:v>Hungary</x:v>
      </x:c>
      <x:c r="B69" s="47" t="str">
        <x:v>Egyéni vállalkozó</x:v>
      </x:c>
      <x:c r="C69" s="47" t="str">
        <x:v>Subcontractor</x:v>
      </x:c>
      <x:c r="D69" s="47" t="str">
        <x:v>Available</x:v>
      </x:c>
    </x:row>
    <x:row r="70" ht="15" hidden="0" customHeight="1">
      <x:c r="A70" s="47" t="str">
        <x:v>Hungary</x:v>
      </x:c>
      <x:c r="B70" s="47" t="str">
        <x:v>Egyéni vállalkozó</x:v>
      </x:c>
      <x:c r="C70" s="47" t="str">
        <x:v>Mixed</x:v>
      </x:c>
      <x:c r="D70" s="47" t="str">
        <x:v>Available</x:v>
      </x:c>
    </x:row>
    <x:row r="71" ht="15" hidden="0" customHeight="1">
      <x:c r="A71" s="47" t="str">
        <x:v>Hungary</x:v>
      </x:c>
      <x:c r="B71" s="47" t="str">
        <x:v>Egyéni vállalkozó</x:v>
      </x:c>
      <x:c r="C71" s="47" t="str">
        <x:v>Carrier with subcontractors</x:v>
      </x:c>
      <x:c r="D71" s="47" t="str">
        <x:v>Available</x:v>
      </x:c>
    </x:row>
    <x:row r="72" ht="15" hidden="0" customHeight="1">
      <x:c r="A72" s="47" t="str">
        <x:v>Hungary</x:v>
      </x:c>
      <x:c r="B72" s="47" t="str">
        <x:v>Kft.</x:v>
      </x:c>
      <x:c r="C72" s="47" t="str">
        <x:v>Owner-operator</x:v>
      </x:c>
      <x:c r="D72" s="47" t="str">
        <x:v>Available</x:v>
      </x:c>
    </x:row>
    <x:row r="73" ht="15" hidden="0" customHeight="1">
      <x:c r="A73" s="47" t="str">
        <x:v>Hungary</x:v>
      </x:c>
      <x:c r="B73" s="47" t="str">
        <x:v>Kft.</x:v>
      </x:c>
      <x:c r="C73" s="47" t="str">
        <x:v>Fleet operator</x:v>
      </x:c>
      <x:c r="D73" s="47" t="str">
        <x:v>Available</x:v>
      </x:c>
    </x:row>
    <x:row r="74" ht="15" hidden="0" customHeight="1">
      <x:c r="A74" s="47" t="str">
        <x:v>Hungary</x:v>
      </x:c>
      <x:c r="B74" s="47" t="str">
        <x:v>Kft.</x:v>
      </x:c>
      <x:c r="C74" s="47" t="str">
        <x:v>Subcontractor</x:v>
      </x:c>
      <x:c r="D74" s="47" t="str">
        <x:v>Available</x:v>
      </x:c>
    </x:row>
    <x:row r="75" ht="15" hidden="0" customHeight="1">
      <x:c r="A75" s="47" t="str">
        <x:v>Hungary</x:v>
      </x:c>
      <x:c r="B75" s="47" t="str">
        <x:v>Kft.</x:v>
      </x:c>
      <x:c r="C75" s="47" t="str">
        <x:v>Mixed</x:v>
      </x:c>
      <x:c r="D75" s="47" t="str">
        <x:v>Available</x:v>
      </x:c>
    </x:row>
    <x:row r="76" ht="15" hidden="0" customHeight="1">
      <x:c r="A76" s="47" t="str">
        <x:v>Hungary</x:v>
      </x:c>
      <x:c r="B76" s="47" t="str">
        <x:v>Kft.</x:v>
      </x:c>
      <x:c r="C76" s="47" t="str">
        <x:v>Carrier with subcontractors</x:v>
      </x:c>
      <x:c r="D76" s="47" t="str">
        <x:v>Available</x:v>
      </x:c>
    </x:row>
    <x:row r="77" ht="15" hidden="0" customHeight="1">
      <x:c r="A77" s="47" t="str">
        <x:v>Hungary</x:v>
      </x:c>
      <x:c r="B77" s="47" t="str">
        <x:v>Zrt. / Nyrt.</x:v>
      </x:c>
      <x:c r="C77" s="47" t="str">
        <x:v>Owner-operator</x:v>
      </x:c>
      <x:c r="D77" s="47" t="str">
        <x:v>Available</x:v>
      </x:c>
    </x:row>
    <x:row r="78" ht="15" hidden="0" customHeight="1">
      <x:c r="A78" s="47" t="str">
        <x:v>Hungary</x:v>
      </x:c>
      <x:c r="B78" s="47" t="str">
        <x:v>Zrt. / Nyrt.</x:v>
      </x:c>
      <x:c r="C78" s="47" t="str">
        <x:v>Fleet operator</x:v>
      </x:c>
      <x:c r="D78" s="47" t="str">
        <x:v>Available</x:v>
      </x:c>
    </x:row>
    <x:row r="79" ht="15" hidden="0" customHeight="1">
      <x:c r="A79" s="47" t="str">
        <x:v>Hungary</x:v>
      </x:c>
      <x:c r="B79" s="47" t="str">
        <x:v>Zrt. / Nyrt.</x:v>
      </x:c>
      <x:c r="C79" s="47" t="str">
        <x:v>Subcontractor</x:v>
      </x:c>
      <x:c r="D79" s="47" t="str">
        <x:v>Available</x:v>
      </x:c>
    </x:row>
    <x:row r="80" ht="15" hidden="0" customHeight="1">
      <x:c r="A80" s="47" t="str">
        <x:v>Hungary</x:v>
      </x:c>
      <x:c r="B80" s="47" t="str">
        <x:v>Zrt. / Nyrt.</x:v>
      </x:c>
      <x:c r="C80" s="47" t="str">
        <x:v>Mixed</x:v>
      </x:c>
      <x:c r="D80" s="47" t="str">
        <x:v>Available</x:v>
      </x:c>
    </x:row>
    <x:row r="81" ht="15" hidden="0" customHeight="1">
      <x:c r="A81" s="47" t="str">
        <x:v>Hungary</x:v>
      </x:c>
      <x:c r="B81" s="47" t="str">
        <x:v>Zrt. / Nyrt.</x:v>
      </x:c>
      <x:c r="C81" s="47" t="str">
        <x:v>Carrier with subcontractors</x:v>
      </x:c>
      <x:c r="D81" s="47" t="str">
        <x:v>Available</x:v>
      </x:c>
    </x:row>
    <x:row r="82" ht="15" hidden="0" customHeight="1">
      <x:c r="A82" s="47" t="str">
        <x:v>Hungary</x:v>
      </x:c>
      <x:c r="B82" s="47" t="str">
        <x:v>Branch / PE</x:v>
      </x:c>
      <x:c r="C82" s="47" t="str">
        <x:v>Owner-operator</x:v>
      </x:c>
      <x:c r="D82" s="47" t="str">
        <x:v>Available</x:v>
      </x:c>
    </x:row>
    <x:row r="83" ht="15" hidden="0" customHeight="1">
      <x:c r="A83" s="47" t="str">
        <x:v>Hungary</x:v>
      </x:c>
      <x:c r="B83" s="47" t="str">
        <x:v>Branch / PE</x:v>
      </x:c>
      <x:c r="C83" s="47" t="str">
        <x:v>Fleet operator</x:v>
      </x:c>
      <x:c r="D83" s="47" t="str">
        <x:v>Available</x:v>
      </x:c>
    </x:row>
    <x:row r="84" ht="15" hidden="0" customHeight="1">
      <x:c r="A84" s="47" t="str">
        <x:v>Hungary</x:v>
      </x:c>
      <x:c r="B84" s="47" t="str">
        <x:v>Branch / PE</x:v>
      </x:c>
      <x:c r="C84" s="47" t="str">
        <x:v>Subcontractor</x:v>
      </x:c>
      <x:c r="D84" s="47" t="str">
        <x:v>Available</x:v>
      </x:c>
    </x:row>
    <x:row r="85" ht="15" hidden="0" customHeight="1">
      <x:c r="A85" s="47" t="str">
        <x:v>Hungary</x:v>
      </x:c>
      <x:c r="B85" s="47" t="str">
        <x:v>Branch / PE</x:v>
      </x:c>
      <x:c r="C85" s="47" t="str">
        <x:v>Mixed</x:v>
      </x:c>
      <x:c r="D85" s="47" t="str">
        <x:v>Available</x:v>
      </x:c>
    </x:row>
    <x:row r="86" ht="15" hidden="0" customHeight="1">
      <x:c r="A86" s="47" t="str">
        <x:v>Hungary</x:v>
      </x:c>
      <x:c r="B86" s="47" t="str">
        <x:v>Branch / PE</x:v>
      </x:c>
      <x:c r="C86" s="47" t="str">
        <x:v>Carrier with subcontractors</x:v>
      </x:c>
      <x:c r="D86" s="47" t="str">
        <x:v>Available</x:v>
      </x:c>
    </x:row>
    <x:row r="87" ht="15" hidden="0" customHeight="1">
      <x:c r="A87" s="47" t="str">
        <x:v>Bulgaria</x:v>
      </x:c>
      <x:c r="B87" s="47" t="str">
        <x:v>ET</x:v>
      </x:c>
      <x:c r="C87" s="47" t="str">
        <x:v>Owner-operator</x:v>
      </x:c>
      <x:c r="D87" s="47" t="str">
        <x:v>Available</x:v>
      </x:c>
    </x:row>
    <x:row r="88" ht="15" hidden="0" customHeight="1">
      <x:c r="A88" s="47" t="str">
        <x:v>Bulgaria</x:v>
      </x:c>
      <x:c r="B88" s="47" t="str">
        <x:v>ET</x:v>
      </x:c>
      <x:c r="C88" s="47" t="str">
        <x:v>Fleet operator</x:v>
      </x:c>
      <x:c r="D88" s="47" t="str">
        <x:v>Available</x:v>
      </x:c>
    </x:row>
    <x:row r="89" ht="15" hidden="0" customHeight="1">
      <x:c r="A89" s="47" t="str">
        <x:v>Bulgaria</x:v>
      </x:c>
      <x:c r="B89" s="47" t="str">
        <x:v>ET</x:v>
      </x:c>
      <x:c r="C89" s="47" t="str">
        <x:v>Subcontractor</x:v>
      </x:c>
      <x:c r="D89" s="47" t="str">
        <x:v>Available</x:v>
      </x:c>
    </x:row>
    <x:row r="90" ht="15" hidden="0" customHeight="1">
      <x:c r="A90" s="47" t="str">
        <x:v>Bulgaria</x:v>
      </x:c>
      <x:c r="B90" s="47" t="str">
        <x:v>ET</x:v>
      </x:c>
      <x:c r="C90" s="47" t="str">
        <x:v>Mixed</x:v>
      </x:c>
      <x:c r="D90" s="47" t="str">
        <x:v>Available</x:v>
      </x:c>
    </x:row>
    <x:row r="91" ht="15" hidden="0" customHeight="1">
      <x:c r="A91" s="47" t="str">
        <x:v>Bulgaria</x:v>
      </x:c>
      <x:c r="B91" s="47" t="str">
        <x:v>ET</x:v>
      </x:c>
      <x:c r="C91" s="47" t="str">
        <x:v>Carrier with subcontractors</x:v>
      </x:c>
      <x:c r="D91" s="47" t="str">
        <x:v>Available</x:v>
      </x:c>
    </x:row>
    <x:row r="92" ht="15" hidden="0" customHeight="1">
      <x:c r="A92" s="47" t="str">
        <x:v>Bulgaria</x:v>
      </x:c>
      <x:c r="B92" s="47" t="str">
        <x:v>EOOD/OOD</x:v>
      </x:c>
      <x:c r="C92" s="47" t="str">
        <x:v>Owner-operator</x:v>
      </x:c>
      <x:c r="D92" s="47" t="str">
        <x:v>Available</x:v>
      </x:c>
    </x:row>
    <x:row r="93" ht="15" hidden="0" customHeight="1">
      <x:c r="A93" s="47" t="str">
        <x:v>Bulgaria</x:v>
      </x:c>
      <x:c r="B93" s="47" t="str">
        <x:v>EOOD/OOD</x:v>
      </x:c>
      <x:c r="C93" s="47" t="str">
        <x:v>Fleet operator</x:v>
      </x:c>
      <x:c r="D93" s="47" t="str">
        <x:v>Available</x:v>
      </x:c>
    </x:row>
    <x:row r="94" ht="15" hidden="0" customHeight="1">
      <x:c r="A94" s="47" t="str">
        <x:v>Bulgaria</x:v>
      </x:c>
      <x:c r="B94" s="47" t="str">
        <x:v>EOOD/OOD</x:v>
      </x:c>
      <x:c r="C94" s="47" t="str">
        <x:v>Subcontractor</x:v>
      </x:c>
      <x:c r="D94" s="47" t="str">
        <x:v>Available</x:v>
      </x:c>
    </x:row>
    <x:row r="95" ht="15" hidden="0" customHeight="1">
      <x:c r="A95" s="47" t="str">
        <x:v>Bulgaria</x:v>
      </x:c>
      <x:c r="B95" s="47" t="str">
        <x:v>EOOD/OOD</x:v>
      </x:c>
      <x:c r="C95" s="47" t="str">
        <x:v>Mixed</x:v>
      </x:c>
      <x:c r="D95" s="47" t="str">
        <x:v>Available</x:v>
      </x:c>
    </x:row>
    <x:row r="96" ht="15" hidden="0" customHeight="1">
      <x:c r="A96" s="47" t="str">
        <x:v>Bulgaria</x:v>
      </x:c>
      <x:c r="B96" s="47" t="str">
        <x:v>EOOD/OOD</x:v>
      </x:c>
      <x:c r="C96" s="47" t="str">
        <x:v>Carrier with subcontractors</x:v>
      </x:c>
      <x:c r="D96" s="47" t="str">
        <x:v>Available</x:v>
      </x:c>
    </x:row>
    <x:row r="97" ht="15" hidden="0" customHeight="1">
      <x:c r="A97" s="47" t="str">
        <x:v>Bulgaria</x:v>
      </x:c>
      <x:c r="B97" s="47" t="str">
        <x:v>AD</x:v>
      </x:c>
      <x:c r="C97" s="47" t="str">
        <x:v>Owner-operator</x:v>
      </x:c>
      <x:c r="D97" s="47" t="str">
        <x:v>Available</x:v>
      </x:c>
    </x:row>
    <x:row r="98" ht="15" hidden="0" customHeight="1">
      <x:c r="A98" s="47" t="str">
        <x:v>Bulgaria</x:v>
      </x:c>
      <x:c r="B98" s="47" t="str">
        <x:v>AD</x:v>
      </x:c>
      <x:c r="C98" s="47" t="str">
        <x:v>Fleet operator</x:v>
      </x:c>
      <x:c r="D98" s="47" t="str">
        <x:v>Available</x:v>
      </x:c>
    </x:row>
    <x:row r="99" ht="15" hidden="0" customHeight="1">
      <x:c r="A99" s="47" t="str">
        <x:v>Bulgaria</x:v>
      </x:c>
      <x:c r="B99" s="47" t="str">
        <x:v>AD</x:v>
      </x:c>
      <x:c r="C99" s="47" t="str">
        <x:v>Subcontractor</x:v>
      </x:c>
      <x:c r="D99" s="47" t="str">
        <x:v>Available</x:v>
      </x:c>
    </x:row>
    <x:row r="100" ht="15" hidden="0" customHeight="1">
      <x:c r="A100" s="47" t="str">
        <x:v>Bulgaria</x:v>
      </x:c>
      <x:c r="B100" s="47" t="str">
        <x:v>AD</x:v>
      </x:c>
      <x:c r="C100" s="47" t="str">
        <x:v>Mixed</x:v>
      </x:c>
      <x:c r="D100" s="47" t="str">
        <x:v>Available</x:v>
      </x:c>
    </x:row>
    <x:row r="101" ht="15" hidden="0" customHeight="1">
      <x:c r="A101" s="47" t="str">
        <x:v>Bulgaria</x:v>
      </x:c>
      <x:c r="B101" s="47" t="str">
        <x:v>AD</x:v>
      </x:c>
      <x:c r="C101" s="47" t="str">
        <x:v>Carrier with subcontractors</x:v>
      </x:c>
      <x:c r="D101" s="47" t="str">
        <x:v>Available</x:v>
      </x:c>
    </x:row>
    <x:row r="102" ht="15" hidden="0" customHeight="1">
      <x:c r="A102" s="47" t="str">
        <x:v>Bulgaria</x:v>
      </x:c>
      <x:c r="B102" s="47" t="str">
        <x:v>Branch / PE</x:v>
      </x:c>
      <x:c r="C102" s="47" t="str">
        <x:v>Owner-operator</x:v>
      </x:c>
      <x:c r="D102" s="47" t="str">
        <x:v>Available</x:v>
      </x:c>
    </x:row>
    <x:row r="103" ht="15" hidden="0" customHeight="1">
      <x:c r="A103" s="47" t="str">
        <x:v>Bulgaria</x:v>
      </x:c>
      <x:c r="B103" s="47" t="str">
        <x:v>Branch / PE</x:v>
      </x:c>
      <x:c r="C103" s="47" t="str">
        <x:v>Fleet operator</x:v>
      </x:c>
      <x:c r="D103" s="47" t="str">
        <x:v>Available</x:v>
      </x:c>
    </x:row>
    <x:row r="104" ht="15" hidden="0" customHeight="1">
      <x:c r="A104" s="47" t="str">
        <x:v>Bulgaria</x:v>
      </x:c>
      <x:c r="B104" s="47" t="str">
        <x:v>Branch / PE</x:v>
      </x:c>
      <x:c r="C104" s="47" t="str">
        <x:v>Subcontractor</x:v>
      </x:c>
      <x:c r="D104" s="47" t="str">
        <x:v>Available</x:v>
      </x:c>
    </x:row>
    <x:row r="105" ht="15" hidden="0" customHeight="1">
      <x:c r="A105" s="47" t="str">
        <x:v>Bulgaria</x:v>
      </x:c>
      <x:c r="B105" s="47" t="str">
        <x:v>Branch / PE</x:v>
      </x:c>
      <x:c r="C105" s="47" t="str">
        <x:v>Mixed</x:v>
      </x:c>
      <x:c r="D105" s="47" t="str">
        <x:v>Available</x:v>
      </x:c>
    </x:row>
    <x:row r="106" ht="15" hidden="0" customHeight="1">
      <x:c r="A106" s="47" t="str">
        <x:v>Bulgaria</x:v>
      </x:c>
      <x:c r="B106" s="47" t="str">
        <x:v>Branch / PE</x:v>
      </x:c>
      <x:c r="C106" s="47" t="str">
        <x:v>Carrier with subcontractors</x:v>
      </x:c>
      <x:c r="D106" s="47" t="str">
        <x:v>Available</x:v>
      </x:c>
    </x:row>
    <x:row r="107" ht="15" hidden="0" customHeight="1">
      <x:c r="A107" s="47" t="str">
        <x:v>Czechia</x:v>
      </x:c>
      <x:c r="B107" s="47" t="str">
        <x:v>OSVČ</x:v>
      </x:c>
      <x:c r="C107" s="47" t="str">
        <x:v>Owner-operator</x:v>
      </x:c>
      <x:c r="D107" s="47" t="str">
        <x:v>Available</x:v>
      </x:c>
    </x:row>
    <x:row r="108" ht="15" hidden="0" customHeight="1">
      <x:c r="A108" s="47" t="str">
        <x:v>Czechia</x:v>
      </x:c>
      <x:c r="B108" s="47" t="str">
        <x:v>OSVČ</x:v>
      </x:c>
      <x:c r="C108" s="47" t="str">
        <x:v>Fleet operator</x:v>
      </x:c>
      <x:c r="D108" s="47" t="str">
        <x:v>Available</x:v>
      </x:c>
    </x:row>
    <x:row r="109" ht="15" hidden="0" customHeight="1">
      <x:c r="A109" s="47" t="str">
        <x:v>Czechia</x:v>
      </x:c>
      <x:c r="B109" s="47" t="str">
        <x:v>OSVČ</x:v>
      </x:c>
      <x:c r="C109" s="47" t="str">
        <x:v>Subcontractor</x:v>
      </x:c>
      <x:c r="D109" s="47" t="str">
        <x:v>Available</x:v>
      </x:c>
    </x:row>
    <x:row r="110" ht="15" hidden="0" customHeight="1">
      <x:c r="A110" s="47" t="str">
        <x:v>Czechia</x:v>
      </x:c>
      <x:c r="B110" s="47" t="str">
        <x:v>OSVČ</x:v>
      </x:c>
      <x:c r="C110" s="47" t="str">
        <x:v>Mixed</x:v>
      </x:c>
      <x:c r="D110" s="47" t="str">
        <x:v>Available</x:v>
      </x:c>
    </x:row>
    <x:row r="111" ht="15" hidden="0" customHeight="1">
      <x:c r="A111" s="47" t="str">
        <x:v>Czechia</x:v>
      </x:c>
      <x:c r="B111" s="47" t="str">
        <x:v>OSVČ</x:v>
      </x:c>
      <x:c r="C111" s="47" t="str">
        <x:v>Carrier with subcontractors</x:v>
      </x:c>
      <x:c r="D111" s="47" t="str">
        <x:v>Available</x:v>
      </x:c>
    </x:row>
    <x:row r="112" ht="15" hidden="0" customHeight="1">
      <x:c r="A112" s="47" t="str">
        <x:v>Czechia</x:v>
      </x:c>
      <x:c r="B112" s="47" t="str">
        <x:v>s.r.o.</x:v>
      </x:c>
      <x:c r="C112" s="47" t="str">
        <x:v>Owner-operator</x:v>
      </x:c>
      <x:c r="D112" s="47" t="str">
        <x:v>Available</x:v>
      </x:c>
    </x:row>
    <x:row r="113" ht="15" hidden="0" customHeight="1">
      <x:c r="A113" s="47" t="str">
        <x:v>Czechia</x:v>
      </x:c>
      <x:c r="B113" s="47" t="str">
        <x:v>s.r.o.</x:v>
      </x:c>
      <x:c r="C113" s="47" t="str">
        <x:v>Fleet operator</x:v>
      </x:c>
      <x:c r="D113" s="47" t="str">
        <x:v>Available</x:v>
      </x:c>
    </x:row>
    <x:row r="114" ht="15" hidden="0" customHeight="1">
      <x:c r="A114" s="47" t="str">
        <x:v>Czechia</x:v>
      </x:c>
      <x:c r="B114" s="47" t="str">
        <x:v>s.r.o.</x:v>
      </x:c>
      <x:c r="C114" s="47" t="str">
        <x:v>Subcontractor</x:v>
      </x:c>
      <x:c r="D114" s="47" t="str">
        <x:v>Available</x:v>
      </x:c>
    </x:row>
    <x:row r="115" ht="15" hidden="0" customHeight="1">
      <x:c r="A115" s="47" t="str">
        <x:v>Czechia</x:v>
      </x:c>
      <x:c r="B115" s="47" t="str">
        <x:v>s.r.o.</x:v>
      </x:c>
      <x:c r="C115" s="47" t="str">
        <x:v>Mixed</x:v>
      </x:c>
      <x:c r="D115" s="47" t="str">
        <x:v>Available</x:v>
      </x:c>
    </x:row>
    <x:row r="116" ht="15" hidden="0" customHeight="1">
      <x:c r="A116" s="47" t="str">
        <x:v>Czechia</x:v>
      </x:c>
      <x:c r="B116" s="47" t="str">
        <x:v>s.r.o.</x:v>
      </x:c>
      <x:c r="C116" s="47" t="str">
        <x:v>Carrier with subcontractors</x:v>
      </x:c>
      <x:c r="D116" s="47" t="str">
        <x:v>Available</x:v>
      </x:c>
    </x:row>
    <x:row r="117" ht="15" hidden="0" customHeight="1">
      <x:c r="A117" s="47" t="str">
        <x:v>Czechia</x:v>
      </x:c>
      <x:c r="B117" s="47" t="str">
        <x:v>a.s.</x:v>
      </x:c>
      <x:c r="C117" s="47" t="str">
        <x:v>Owner-operator</x:v>
      </x:c>
      <x:c r="D117" s="47" t="str">
        <x:v>Available</x:v>
      </x:c>
    </x:row>
    <x:row r="118" ht="15" hidden="0" customHeight="1">
      <x:c r="A118" s="47" t="str">
        <x:v>Czechia</x:v>
      </x:c>
      <x:c r="B118" s="47" t="str">
        <x:v>a.s.</x:v>
      </x:c>
      <x:c r="C118" s="47" t="str">
        <x:v>Fleet operator</x:v>
      </x:c>
      <x:c r="D118" s="47" t="str">
        <x:v>Available</x:v>
      </x:c>
    </x:row>
    <x:row r="119" ht="15" hidden="0" customHeight="1">
      <x:c r="A119" s="47" t="str">
        <x:v>Czechia</x:v>
      </x:c>
      <x:c r="B119" s="47" t="str">
        <x:v>a.s.</x:v>
      </x:c>
      <x:c r="C119" s="47" t="str">
        <x:v>Subcontractor</x:v>
      </x:c>
      <x:c r="D119" s="47" t="str">
        <x:v>Available</x:v>
      </x:c>
    </x:row>
    <x:row r="120" ht="15" hidden="0" customHeight="1">
      <x:c r="A120" s="47" t="str">
        <x:v>Czechia</x:v>
      </x:c>
      <x:c r="B120" s="47" t="str">
        <x:v>a.s.</x:v>
      </x:c>
      <x:c r="C120" s="47" t="str">
        <x:v>Mixed</x:v>
      </x:c>
      <x:c r="D120" s="47" t="str">
        <x:v>Available</x:v>
      </x:c>
    </x:row>
    <x:row r="121" ht="15" hidden="0" customHeight="1">
      <x:c r="A121" s="47" t="str">
        <x:v>Czechia</x:v>
      </x:c>
      <x:c r="B121" s="47" t="str">
        <x:v>a.s.</x:v>
      </x:c>
      <x:c r="C121" s="47" t="str">
        <x:v>Carrier with subcontractors</x:v>
      </x:c>
      <x:c r="D121" s="47" t="str">
        <x:v>Available</x:v>
      </x:c>
    </x:row>
    <x:row r="122" ht="15" hidden="0" customHeight="1">
      <x:c r="A122" s="47" t="str">
        <x:v>Czechia</x:v>
      </x:c>
      <x:c r="B122" s="47" t="str">
        <x:v>Branch / PE</x:v>
      </x:c>
      <x:c r="C122" s="47" t="str">
        <x:v>Owner-operator</x:v>
      </x:c>
      <x:c r="D122" s="47" t="str">
        <x:v>Available</x:v>
      </x:c>
    </x:row>
    <x:row r="123" ht="15" hidden="0" customHeight="1">
      <x:c r="A123" s="47" t="str">
        <x:v>Czechia</x:v>
      </x:c>
      <x:c r="B123" s="47" t="str">
        <x:v>Branch / PE</x:v>
      </x:c>
      <x:c r="C123" s="47" t="str">
        <x:v>Fleet operator</x:v>
      </x:c>
      <x:c r="D123" s="47" t="str">
        <x:v>Available</x:v>
      </x:c>
    </x:row>
    <x:row r="124" ht="15" hidden="0" customHeight="1">
      <x:c r="A124" s="47" t="str">
        <x:v>Czechia</x:v>
      </x:c>
      <x:c r="B124" s="47" t="str">
        <x:v>Branch / PE</x:v>
      </x:c>
      <x:c r="C124" s="47" t="str">
        <x:v>Subcontractor</x:v>
      </x:c>
      <x:c r="D124" s="47" t="str">
        <x:v>Available</x:v>
      </x:c>
    </x:row>
    <x:row r="125" ht="15" hidden="0" customHeight="1">
      <x:c r="A125" s="47" t="str">
        <x:v>Czechia</x:v>
      </x:c>
      <x:c r="B125" s="47" t="str">
        <x:v>Branch / PE</x:v>
      </x:c>
      <x:c r="C125" s="47" t="str">
        <x:v>Mixed</x:v>
      </x:c>
      <x:c r="D125" s="47" t="str">
        <x:v>Available</x:v>
      </x:c>
    </x:row>
    <x:row r="126" ht="15" hidden="0" customHeight="1">
      <x:c r="A126" s="47" t="str">
        <x:v>Czechia</x:v>
      </x:c>
      <x:c r="B126" s="47" t="str">
        <x:v>Branch / PE</x:v>
      </x:c>
      <x:c r="C126" s="47" t="str">
        <x:v>Carrier with subcontractors</x:v>
      </x:c>
      <x:c r="D126" s="47" t="str">
        <x:v>Available</x:v>
      </x:c>
    </x:row>
    <x:row r="127" ht="15" hidden="0" customHeight="1">
      <x:c r="A127" s="47" t="str">
        <x:v>Slovakia</x:v>
      </x:c>
      <x:c r="B127" s="47" t="str">
        <x:v>živnostník</x:v>
      </x:c>
      <x:c r="C127" s="47" t="str">
        <x:v>Owner-operator</x:v>
      </x:c>
      <x:c r="D127" s="47" t="str">
        <x:v>Available</x:v>
      </x:c>
    </x:row>
    <x:row r="128" ht="15" hidden="0" customHeight="1">
      <x:c r="A128" s="47" t="str">
        <x:v>Slovakia</x:v>
      </x:c>
      <x:c r="B128" s="47" t="str">
        <x:v>živnostník</x:v>
      </x:c>
      <x:c r="C128" s="47" t="str">
        <x:v>Fleet operator</x:v>
      </x:c>
      <x:c r="D128" s="47" t="str">
        <x:v>Available</x:v>
      </x:c>
    </x:row>
    <x:row r="129" ht="15" hidden="0" customHeight="1">
      <x:c r="A129" s="47" t="str">
        <x:v>Slovakia</x:v>
      </x:c>
      <x:c r="B129" s="47" t="str">
        <x:v>živnostník</x:v>
      </x:c>
      <x:c r="C129" s="47" t="str">
        <x:v>Subcontractor</x:v>
      </x:c>
      <x:c r="D129" s="47" t="str">
        <x:v>Available</x:v>
      </x:c>
    </x:row>
    <x:row r="130" ht="15" hidden="0" customHeight="1">
      <x:c r="A130" s="47" t="str">
        <x:v>Slovakia</x:v>
      </x:c>
      <x:c r="B130" s="47" t="str">
        <x:v>živnostník</x:v>
      </x:c>
      <x:c r="C130" s="47" t="str">
        <x:v>Mixed</x:v>
      </x:c>
      <x:c r="D130" s="47" t="str">
        <x:v>Available</x:v>
      </x:c>
    </x:row>
    <x:row r="131" ht="15" hidden="0" customHeight="1">
      <x:c r="A131" s="47" t="str">
        <x:v>Slovakia</x:v>
      </x:c>
      <x:c r="B131" s="47" t="str">
        <x:v>živnostník</x:v>
      </x:c>
      <x:c r="C131" s="47" t="str">
        <x:v>Carrier with subcontractors</x:v>
      </x:c>
      <x:c r="D131" s="47" t="str">
        <x:v>Available</x:v>
      </x:c>
    </x:row>
    <x:row r="132" ht="15" hidden="0" customHeight="1">
      <x:c r="A132" s="47" t="str">
        <x:v>Slovakia</x:v>
      </x:c>
      <x:c r="B132" s="47" t="str">
        <x:v>s.r.o.</x:v>
      </x:c>
      <x:c r="C132" s="47" t="str">
        <x:v>Owner-operator</x:v>
      </x:c>
      <x:c r="D132" s="47" t="str">
        <x:v>Available</x:v>
      </x:c>
    </x:row>
    <x:row r="133" ht="15" hidden="0" customHeight="1">
      <x:c r="A133" s="47" t="str">
        <x:v>Slovakia</x:v>
      </x:c>
      <x:c r="B133" s="47" t="str">
        <x:v>s.r.o.</x:v>
      </x:c>
      <x:c r="C133" s="47" t="str">
        <x:v>Fleet operator</x:v>
      </x:c>
      <x:c r="D133" s="47" t="str">
        <x:v>Available</x:v>
      </x:c>
    </x:row>
    <x:row r="134" ht="15" hidden="0" customHeight="1">
      <x:c r="A134" s="47" t="str">
        <x:v>Slovakia</x:v>
      </x:c>
      <x:c r="B134" s="47" t="str">
        <x:v>s.r.o.</x:v>
      </x:c>
      <x:c r="C134" s="47" t="str">
        <x:v>Subcontractor</x:v>
      </x:c>
      <x:c r="D134" s="47" t="str">
        <x:v>Available</x:v>
      </x:c>
    </x:row>
    <x:row r="135" ht="15" hidden="0" customHeight="1">
      <x:c r="A135" s="47" t="str">
        <x:v>Slovakia</x:v>
      </x:c>
      <x:c r="B135" s="47" t="str">
        <x:v>s.r.o.</x:v>
      </x:c>
      <x:c r="C135" s="47" t="str">
        <x:v>Mixed</x:v>
      </x:c>
      <x:c r="D135" s="47" t="str">
        <x:v>Available</x:v>
      </x:c>
    </x:row>
    <x:row r="136" ht="15" hidden="0" customHeight="1">
      <x:c r="A136" s="47" t="str">
        <x:v>Slovakia</x:v>
      </x:c>
      <x:c r="B136" s="47" t="str">
        <x:v>s.r.o.</x:v>
      </x:c>
      <x:c r="C136" s="47" t="str">
        <x:v>Carrier with subcontractors</x:v>
      </x:c>
      <x:c r="D136" s="47" t="str">
        <x:v>Available</x:v>
      </x:c>
    </x:row>
    <x:row r="137" ht="15" hidden="0" customHeight="1">
      <x:c r="A137" s="47" t="str">
        <x:v>Slovakia</x:v>
      </x:c>
      <x:c r="B137" s="47" t="str">
        <x:v>a.s.</x:v>
      </x:c>
      <x:c r="C137" s="47" t="str">
        <x:v>Owner-operator</x:v>
      </x:c>
      <x:c r="D137" s="47" t="str">
        <x:v>Available</x:v>
      </x:c>
    </x:row>
    <x:row r="138" ht="15" hidden="0" customHeight="1">
      <x:c r="A138" s="47" t="str">
        <x:v>Slovakia</x:v>
      </x:c>
      <x:c r="B138" s="47" t="str">
        <x:v>a.s.</x:v>
      </x:c>
      <x:c r="C138" s="47" t="str">
        <x:v>Fleet operator</x:v>
      </x:c>
      <x:c r="D138" s="47" t="str">
        <x:v>Available</x:v>
      </x:c>
    </x:row>
    <x:row r="139" ht="15" hidden="0" customHeight="1">
      <x:c r="A139" s="47" t="str">
        <x:v>Slovakia</x:v>
      </x:c>
      <x:c r="B139" s="47" t="str">
        <x:v>a.s.</x:v>
      </x:c>
      <x:c r="C139" s="47" t="str">
        <x:v>Subcontractor</x:v>
      </x:c>
      <x:c r="D139" s="47" t="str">
        <x:v>Available</x:v>
      </x:c>
    </x:row>
    <x:row r="140" ht="15" hidden="0" customHeight="1">
      <x:c r="A140" s="47" t="str">
        <x:v>Slovakia</x:v>
      </x:c>
      <x:c r="B140" s="47" t="str">
        <x:v>a.s.</x:v>
      </x:c>
      <x:c r="C140" s="47" t="str">
        <x:v>Mixed</x:v>
      </x:c>
      <x:c r="D140" s="47" t="str">
        <x:v>Available</x:v>
      </x:c>
    </x:row>
    <x:row r="141" ht="15" hidden="0" customHeight="1">
      <x:c r="A141" s="47" t="str">
        <x:v>Slovakia</x:v>
      </x:c>
      <x:c r="B141" s="47" t="str">
        <x:v>a.s.</x:v>
      </x:c>
      <x:c r="C141" s="47" t="str">
        <x:v>Carrier with subcontractors</x:v>
      </x:c>
      <x:c r="D141" s="47" t="str">
        <x:v>Available</x:v>
      </x:c>
    </x:row>
    <x:row r="142" ht="15" hidden="0" customHeight="1">
      <x:c r="A142" s="47" t="str">
        <x:v>Slovakia</x:v>
      </x:c>
      <x:c r="B142" s="47" t="str">
        <x:v>Branch / PE</x:v>
      </x:c>
      <x:c r="C142" s="47" t="str">
        <x:v>Owner-operator</x:v>
      </x:c>
      <x:c r="D142" s="47" t="str">
        <x:v>Available</x:v>
      </x:c>
    </x:row>
    <x:row r="143" ht="15" hidden="0" customHeight="1">
      <x:c r="A143" s="47" t="str">
        <x:v>Slovakia</x:v>
      </x:c>
      <x:c r="B143" s="47" t="str">
        <x:v>Branch / PE</x:v>
      </x:c>
      <x:c r="C143" s="47" t="str">
        <x:v>Fleet operator</x:v>
      </x:c>
      <x:c r="D143" s="47" t="str">
        <x:v>Available</x:v>
      </x:c>
    </x:row>
    <x:row r="144" ht="15" hidden="0" customHeight="1">
      <x:c r="A144" s="47" t="str">
        <x:v>Slovakia</x:v>
      </x:c>
      <x:c r="B144" s="47" t="str">
        <x:v>Branch / PE</x:v>
      </x:c>
      <x:c r="C144" s="47" t="str">
        <x:v>Subcontractor</x:v>
      </x:c>
      <x:c r="D144" s="47" t="str">
        <x:v>Available</x:v>
      </x:c>
    </x:row>
    <x:row r="145" ht="15" hidden="0" customHeight="1">
      <x:c r="A145" s="47" t="str">
        <x:v>Slovakia</x:v>
      </x:c>
      <x:c r="B145" s="47" t="str">
        <x:v>Branch / PE</x:v>
      </x:c>
      <x:c r="C145" s="47" t="str">
        <x:v>Mixed</x:v>
      </x:c>
      <x:c r="D145" s="47" t="str">
        <x:v>Available</x:v>
      </x:c>
    </x:row>
    <x:row r="146" ht="15" hidden="0" customHeight="1">
      <x:c r="A146" s="47" t="str">
        <x:v>Slovakia</x:v>
      </x:c>
      <x:c r="B146" s="47" t="str">
        <x:v>Branch / PE</x:v>
      </x:c>
      <x:c r="C146" s="47" t="str">
        <x:v>Carrier with subcontractors</x:v>
      </x:c>
      <x:c r="D146" s="47" t="str">
        <x:v>Available</x:v>
      </x:c>
    </x:row>
    <x:row r="147" ht="15" hidden="0" customHeight="1">
      <x:c r="A147" s="47" t="str">
        <x:v>Manual / Custom</x:v>
      </x:c>
      <x:c r="B147" s="47" t="str">
        <x:v>Manual entity</x:v>
      </x:c>
      <x:c r="C147" s="47" t="str">
        <x:v>Owner-operator</x:v>
      </x:c>
      <x:c r="D147" s="47" t="str">
        <x:v>Available</x:v>
      </x:c>
    </x:row>
    <x:row r="148" ht="15" hidden="0" customHeight="1">
      <x:c r="A148" s="47" t="str">
        <x:v>Manual / Custom</x:v>
      </x:c>
      <x:c r="B148" s="47" t="str">
        <x:v>Manual entity</x:v>
      </x:c>
      <x:c r="C148" s="47" t="str">
        <x:v>Fleet operator</x:v>
      </x:c>
      <x:c r="D148" s="47" t="str">
        <x:v>Available</x:v>
      </x:c>
    </x:row>
    <x:row r="149" ht="15" hidden="0" customHeight="1">
      <x:c r="A149" s="47" t="str">
        <x:v>Manual / Custom</x:v>
      </x:c>
      <x:c r="B149" s="47" t="str">
        <x:v>Manual entity</x:v>
      </x:c>
      <x:c r="C149" s="47" t="str">
        <x:v>Subcontractor</x:v>
      </x:c>
      <x:c r="D149" s="47" t="str">
        <x:v>Available</x:v>
      </x:c>
    </x:row>
    <x:row r="150" ht="15" hidden="0" customHeight="1">
      <x:c r="A150" s="47" t="str">
        <x:v>Manual / Custom</x:v>
      </x:c>
      <x:c r="B150" s="47" t="str">
        <x:v>Manual entity</x:v>
      </x:c>
      <x:c r="C150" s="47" t="str">
        <x:v>Mixed</x:v>
      </x:c>
      <x:c r="D150" s="47" t="str">
        <x:v>Available</x:v>
      </x:c>
    </x:row>
    <x:row r="151" ht="15" hidden="0" customHeight="1">
      <x:c r="A151" s="47" t="str">
        <x:v>Manual / Custom</x:v>
      </x:c>
      <x:c r="B151" s="47" t="str">
        <x:v>Manual entity</x:v>
      </x:c>
      <x:c r="C151" s="47" t="str">
        <x:v>Carrier with subcontractors</x:v>
      </x:c>
      <x:c r="D151" s="47" t="str">
        <x:v>Available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19.200000762939453" hidden="0" customHeight="1">
      <x:c r="A1" s="87" t="str">
        <x:v>Workbook guide</x:v>
      </x:c>
      <x:c r="B1" s="87"/>
    </x:row>
    <x:row r="2" ht="15" hidden="0" customHeight="1">
      <x:c r="A2" s="13" t="str">
        <x:v>Use order</x:v>
      </x:c>
      <x:c r="B2" s="13" t="str">
        <x:v>Start Here → Company &amp; Tax Profile → Inputs → Engine → Pricing Scenarios → Sensitivity.</x:v>
      </x:c>
    </x:row>
    <x:row r="3" ht="15" hidden="0" customHeight="1">
      <x:c r="A3" s="13" t="str">
        <x:v>Editable cells</x:v>
      </x:c>
      <x:c r="B3" s="13" t="str">
        <x:v>Yellow cells are meant for input. Blue cells are formula/linked values. Green cells are key results.</x:v>
      </x:c>
    </x:row>
    <x:row r="4" ht="15" hidden="0" customHeight="1">
      <x:c r="A4" s="13" t="str">
        <x:v>Company &amp; Tax Profile</x:v>
      </x:c>
      <x:c r="B4" s="13" t="str">
        <x:v>Country/jurisdiction is the master field. Company type and business model follow it. Tax fields are prefilled from Tax Rules.</x:v>
      </x:c>
    </x:row>
    <x:row r="5" ht="15" hidden="0" customHeight="1">
      <x:c r="A5" s="13" t="str">
        <x:v>Inputs</x:v>
      </x:c>
      <x:c r="B5" s="13" t="str">
        <x:v>Daily km is the input; annual total km is calculated as Daily km × Operating days.</x:v>
      </x:c>
    </x:row>
    <x:row r="6" ht="15" hidden="0" customHeight="1">
      <x:c r="A6" s="13" t="str">
        <x:v>Engine</x:v>
      </x:c>
      <x:c r="B6" s="13" t="str">
        <x:v>Do not edit. It calculates operational cost, loaded km, break-even €/loaded km and target-margin rates.</x:v>
      </x:c>
    </x:row>
    <x:row r="7" ht="15" hidden="0" customHeight="1">
      <x:c r="A7" s="13" t="str">
        <x:v>Pricing Scenarios</x:v>
      </x:c>
      <x:c r="B7" s="13" t="str">
        <x:v>Customer rate is calculated after break-even: break-even × (1 + markup). VAT is shown separately.</x:v>
      </x:c>
    </x:row>
    <x:row r="8" ht="15" hidden="0" customHeight="1">
      <x:c r="A8" s="13" t="str">
        <x:v>Sensitivity</x:v>
      </x:c>
      <x:c r="B8" s="13" t="str">
        <x:v>Use to compare rate, load factor, payload utilisation and truck class.</x:v>
      </x:c>
    </x:row>
    <x:row r="9" ht="15" hidden="0" customHeight="1">
      <x:c r="A9" s="13" t="str">
        <x:v>Vehicle Classes</x:v>
      </x:c>
      <x:c r="B9" s="13" t="str">
        <x:v>Assumptions for vans, rigid trucks, articulated 40t/44t and EMS/high-capacity 60t scenarios.</x:v>
      </x:c>
    </x:row>
    <x:row r="10" ht="15" hidden="0" customHeight="1">
      <x:c r="A10" s="13" t="str">
        <x:v>Tax Rules</x:v>
      </x:c>
      <x:c r="B10" s="13" t="str">
        <x:v>Country defaults for VAT, corporate tax, local/trade tax, payroll contribution and vehicle tax placeholder.</x:v>
      </x:c>
    </x:row>
    <x:row r="11" ht="15" hidden="0" customHeight="1">
      <x:c r="A11" s="13" t="str">
        <x:v>Cascade Lists / Dropdown Helper</x:v>
      </x:c>
      <x:c r="B11" s="13" t="str">
        <x:v>Technical support sheets for dropdowns. Modify only if adding new countries or company forms.</x:v>
      </x:c>
    </x:row>
    <x:row r="12" ht="26.399999618530273" hidden="0" customHeight="1">
      <x:c r="A12" s="13" t="str">
        <x:v>Important</x:v>
      </x:c>
      <x:c r="B12" s="13" t="str">
        <x:v>Replace default tax and truck-cost assumptions with accountant/tax-advisor and fleet-quote confirmed values before commercial use.</x:v>
      </x:c>
    </x:row>
    <x:row r="13" ht="15" hidden="0" customHeight="1">
      <x:c r="A13" s="13"/>
      <x:c r="B13" s="13"/>
    </x:row>
    <x:row r="14" ht="15" hidden="0" customHeight="1">
      <x:c r="A14" s="103" t="str">
        <x:v>Model logic</x:v>
      </x:c>
      <x:c r="B14" s="103" t="str">
        <x:v>Operational break-even is separated from commercial pricing and tax treatment.</x:v>
      </x:c>
    </x:row>
    <x:row r="15" ht="15" hidden="0" customHeight="1">
      <x:c r="A15" s="13" t="str">
        <x:v>Break-even</x:v>
      </x:c>
      <x:c r="B15" s="13" t="str">
        <x:v>Total annual cost / loaded revenue km.</x:v>
      </x:c>
    </x:row>
    <x:row r="16" ht="15" hidden="0" customHeight="1">
      <x:c r="A16" s="13" t="str">
        <x:v>Selected customer rate</x:v>
      </x:c>
      <x:c r="B16" s="13" t="str">
        <x:v>Break-even €/loaded km × selected markup percentage.</x:v>
      </x:c>
    </x:row>
    <x:row r="17" ht="15" hidden="0" customHeight="1">
      <x:c r="A17" s="13" t="str">
        <x:v>VAT</x:v>
      </x:c>
      <x:c r="B17" s="13" t="str">
        <x:v>Invoice/cash layer only, not revenue or profit.</x:v>
      </x:c>
    </x:row>
    <x:row r="18" ht="15" hidden="0" customHeight="1">
      <x:c r="A18" s="13" t="str">
        <x:v>Business tax</x:v>
      </x:c>
      <x:c r="B18" s="13" t="str">
        <x:v>Applied to positive EBIT in the pricing sheet.</x:v>
      </x:c>
    </x:row>
    <x:row r="19" ht="15" hidden="0" customHeight="1">
      <x:c r="A19" s="13" t="str">
        <x:v>Loaded ratio</x:v>
      </x:c>
      <x:c r="B19" s="13" t="str">
        <x:v>Loaded revenue km / annual total km. Empty km still cost money but do not create revenue.</x:v>
      </x:c>
    </x:row>
  </x:sheetData>
  <x:mergeCells>
    <x:mergeCell ref="A1:B1"/>
  </x:mergeCells>
  <x:pageMargins left="0.7" right="0.7" top="0.75" bottom="0.75" header="0.3" footer="0.3"/>
</x:worksheet>
</file>