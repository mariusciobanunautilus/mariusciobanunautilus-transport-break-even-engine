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d04320b91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6b2101a2dc7644b8"/>
    <x:sheet xmlns:r="http://schemas.openxmlformats.org/officeDocument/2006/relationships" name="Inputs" sheetId="2" r:id="Rc0be5c03d8f247cc"/>
    <x:sheet xmlns:r="http://schemas.openxmlformats.org/officeDocument/2006/relationships" name="Engine" sheetId="3" r:id="R0b3a8c8276ea4d9b"/>
    <x:sheet xmlns:r="http://schemas.openxmlformats.org/officeDocument/2006/relationships" name="Sensitivity" sheetId="4" r:id="R8a5c8053d7884cb1"/>
    <x:sheet xmlns:r="http://schemas.openxmlformats.org/officeDocument/2006/relationships" name="Vehicle Classes" sheetId="5" r:id="R62d5da8294f94960"/>
    <x:sheet xmlns:r="http://schemas.openxmlformats.org/officeDocument/2006/relationships" name="Pricing Scenarios" sheetId="6" r:id="Raa96d56d26bb47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0.0%"/>
    <x:numFmt numFmtId="201" formatCode="#,##0.00"/>
    <x:numFmt numFmtId="202" formatCode="0.000"/>
    <x:numFmt numFmtId="203" formatCode="0%"/>
    <x:numFmt numFmtId="204" formatCode="0.00"/>
    <x:numFmt numFmtId="205" formatCode="#,##0"/>
    <x:numFmt numFmtId="206" formatCode="0.0"/>
    <x:numFmt numFmtId="207" formatCode="#,##0;[Red](#,##0);-"/>
    <x:numFmt numFmtId="208" formatCode="€0.000"/>
    <x:numFmt numFmtId="209" formatCode="€#,##0;[Red](€#,##0);-"/>
    <x:numFmt numFmtId="210" formatCode="€0.0000"/>
    <x:numFmt numFmtId="211" formatCode="0"/>
  </x:numFmts>
  <x:fonts count="10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i/>
      <x:sz val="11"/>
      <x:color rgb="374151"/>
      <x:name val="Carlito"/>
    </x:font>
    <x:font>
      <x:sz val="11"/>
      <x:color rgb="0000FF"/>
      <x:name val="Carlito"/>
    </x:font>
    <x:font>
      <x:sz val="11"/>
      <x:color rgb="000000"/>
      <x:name val="Carlito"/>
    </x:font>
    <x:font>
      <x:sz val="11"/>
      <x:color rgb="008000"/>
      <x:name val="Carlito"/>
    </x:font>
    <x:font>
      <x:i/>
      <x:sz val="11"/>
      <x:color rgb="92400E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  <x:fill>
      <x:patternFill patternType="solid">
        <x:fgColor rgb="374151"/>
      </x:patternFill>
    </x:fill>
    <x:fill>
      <x:patternFill patternType="solid">
        <x:fgColor rgb="F9FAFB"/>
      </x:patternFill>
    </x:fill>
    <x:fill>
      <x:patternFill patternType="solid">
        <x:fgColor rgb="ECFDF5"/>
      </x:patternFill>
    </x:fill>
    <x:fill>
      <x:patternFill patternType="solid">
        <x:fgColor rgb="F3F4F6"/>
      </x:patternFill>
    </x:fill>
    <x:fill>
      <x:patternFill patternType="solid">
        <x:fgColor rgb="111827"/>
      </x:patternFill>
    </x:fill>
    <x:fill>
      <x:patternFill patternType="solid">
        <x:fgColor rgb="F3F4F6"/>
      </x:patternFill>
    </x:fill>
    <x:fill>
      <x:patternFill patternType="solid">
        <x:fgColor rgb="374151"/>
      </x:patternFill>
    </x:fill>
    <x:fill>
      <x:patternFill patternType="solid">
        <x:fgColor rgb="FEF3C7"/>
      </x:patternFill>
    </x:fill>
    <x:fill>
      <x:patternFill patternType="solid">
        <x:fgColor rgb="EAF2F8"/>
      </x:patternFill>
    </x:fill>
    <x:fill>
      <x:patternFill patternType="solid">
        <x:fgColor rgb="F6F8FA"/>
      </x:patternFill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E5E7EB"/>
      </x:patternFill>
    </x:fill>
    <x:fill>
      <x:patternFill patternType="solid">
        <x:fgColor rgb="FEF3C7"/>
      </x:patternFill>
    </x:fill>
    <x:fill>
      <x:patternFill patternType="solid">
        <x:fgColor rgb="ECFDF5"/>
      </x:patternFill>
    </x:fill>
    <x:fill>
      <x:patternFill patternType="solid">
        <x:fgColor rgb="F3F4F6"/>
      </x:patternFill>
    </x:fill>
  </x:fills>
  <x:borders count="11">
    <x:border/>
    <x:border/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</x:border>
    <x:border>
      <x:left>
        <x:color rgb="E5E7EB"/>
      </x:left>
      <x:right>
        <x:color rgb="E5E7EB"/>
      </x:right>
      <x:top>
        <x:color rgb="E5E7EB"/>
      </x:top>
    </x:border>
    <x:border>
      <x:left>
        <x:color rgb="E5E7EB"/>
      </x:left>
      <x:top>
        <x:color rgb="E5E7EB"/>
      </x:top>
    </x:border>
  </x:borders>
  <x:cellStyleXfs count="1">
    <x:xf numFmtId="0" fontId="0" fillId="0" borderId="0"/>
  </x:cellStyleXfs>
  <x:cellXfs count="2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2" fillId="3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3" fillId="4" borderId="0" xfId="0" applyNumberFormat="1" applyFont="1" applyFill="1" applyBorder="1" applyAlignment="1">
      <x:alignment horizontal="center"/>
    </x:xf>
    <x:xf numFmtId="204" fontId="3" fillId="4" borderId="1" xfId="0" applyNumberFormat="1" applyFont="1" applyFill="1" applyBorder="1" applyAlignment="1">
      <x:alignment horizont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206" fontId="6" fillId="0" borderId="3" xfId="0" applyNumberFormat="1" applyFont="1" applyFill="1" applyBorder="1" applyAlignment="1">
      <x:alignment vertical="top" wrapText="1"/>
    </x:xf>
    <x:xf numFmtId="206" fontId="6" fillId="0" borderId="6" xfId="0" applyNumberFormat="1" applyFont="1" applyFill="1" applyBorder="1" applyAlignment="1">
      <x:alignment vertical="top" wrapText="1"/>
    </x:xf>
    <x:xf numFmtId="206" fontId="6" fillId="0" borderId="9" xfId="0" applyNumberFormat="1" applyFont="1" applyFill="1" applyBorder="1" applyAlignment="1">
      <x:alignment vertical="top" wrapText="1"/>
    </x:xf>
    <x:xf numFmtId="200" fontId="6" fillId="0" borderId="3" xfId="0" applyNumberFormat="1" applyFont="1" applyFill="1" applyBorder="1" applyAlignment="1">
      <x:alignment vertical="top" wrapText="1"/>
    </x:xf>
    <x:xf numFmtId="200" fontId="6" fillId="0" borderId="6" xfId="0" applyNumberFormat="1" applyFont="1" applyFill="1" applyBorder="1" applyAlignment="1">
      <x:alignment vertical="top" wrapText="1"/>
    </x:xf>
    <x:xf numFmtId="200" fontId="6" fillId="0" borderId="9" xfId="0" applyNumberFormat="1" applyFont="1" applyFill="1" applyBorder="1" applyAlignment="1">
      <x:alignment vertical="top" wrapText="1"/>
    </x:xf>
    <x:xf numFmtId="206" fontId="7" fillId="0" borderId="3" xfId="0" applyNumberFormat="1" applyFont="1" applyFill="1" applyBorder="1" applyAlignment="1">
      <x:alignment vertical="top" wrapText="1"/>
    </x:xf>
    <x:xf numFmtId="206" fontId="7" fillId="0" borderId="6" xfId="0" applyNumberFormat="1" applyFont="1" applyFill="1" applyBorder="1" applyAlignment="1">
      <x:alignment vertical="top" wrapText="1"/>
    </x:xf>
    <x:xf numFmtId="206" fontId="7" fillId="0" borderId="9" xfId="0" applyNumberFormat="1" applyFont="1" applyFill="1" applyBorder="1" applyAlignment="1">
      <x:alignment vertical="top" wrapText="1"/>
    </x:xf>
    <x:xf numFmtId="207" fontId="6" fillId="0" borderId="3" xfId="0" applyNumberFormat="1" applyFont="1" applyFill="1" applyBorder="1" applyAlignment="1">
      <x:alignment vertical="top" wrapText="1"/>
    </x:xf>
    <x:xf numFmtId="207" fontId="7" fillId="0" borderId="3" xfId="0" applyNumberFormat="1" applyFont="1" applyFill="1" applyBorder="1" applyAlignment="1">
      <x:alignment vertical="top" wrapText="1"/>
    </x:xf>
    <x:xf numFmtId="207" fontId="6" fillId="0" borderId="6" xfId="0" applyNumberFormat="1" applyFont="1" applyFill="1" applyBorder="1" applyAlignment="1">
      <x:alignment vertical="top" wrapText="1"/>
    </x:xf>
    <x:xf numFmtId="207" fontId="7" fillId="0" borderId="6" xfId="0" applyNumberFormat="1" applyFont="1" applyFill="1" applyBorder="1" applyAlignment="1">
      <x:alignment vertical="top" wrapText="1"/>
    </x:xf>
    <x:xf numFmtId="207" fontId="6" fillId="0" borderId="9" xfId="0" applyNumberFormat="1" applyFont="1" applyFill="1" applyBorder="1" applyAlignment="1">
      <x:alignment vertical="top" wrapText="1"/>
    </x:xf>
    <x:xf numFmtId="207" fontId="7" fillId="0" borderId="9" xfId="0" applyNumberFormat="1" applyFont="1" applyFill="1" applyBorder="1" applyAlignment="1">
      <x:alignment vertical="top" wrapText="1"/>
    </x:xf>
    <x:xf numFmtId="208" fontId="8" fillId="0" borderId="3" xfId="0" applyNumberFormat="1" applyFont="1" applyFill="1" applyBorder="1" applyAlignment="1">
      <x:alignment vertical="top" wrapText="1"/>
    </x:xf>
    <x:xf numFmtId="208" fontId="7" fillId="0" borderId="3" xfId="0" applyNumberFormat="1" applyFont="1" applyFill="1" applyBorder="1" applyAlignment="1">
      <x:alignment vertical="top" wrapText="1"/>
    </x:xf>
    <x:xf numFmtId="208" fontId="8" fillId="0" borderId="6" xfId="0" applyNumberFormat="1" applyFont="1" applyFill="1" applyBorder="1" applyAlignment="1">
      <x:alignment vertical="top" wrapText="1"/>
    </x:xf>
    <x:xf numFmtId="208" fontId="7" fillId="0" borderId="6" xfId="0" applyNumberFormat="1" applyFont="1" applyFill="1" applyBorder="1" applyAlignment="1">
      <x:alignment vertical="top" wrapText="1"/>
    </x:xf>
    <x:xf numFmtId="208" fontId="8" fillId="0" borderId="9" xfId="0" applyNumberFormat="1" applyFont="1" applyFill="1" applyBorder="1" applyAlignment="1">
      <x:alignment vertical="top" wrapText="1"/>
    </x:xf>
    <x:xf numFmtId="208" fontId="7" fillId="0" borderId="9" xfId="0" applyNumberFormat="1" applyFont="1" applyFill="1" applyBorder="1" applyAlignment="1">
      <x:alignment vertical="top" wrapText="1"/>
    </x:xf>
    <x:xf numFmtId="208" fontId="6" fillId="0" borderId="3" xfId="0" applyNumberFormat="1" applyFont="1" applyFill="1" applyBorder="1" applyAlignment="1">
      <x:alignment vertical="top" wrapText="1"/>
    </x:xf>
    <x:xf numFmtId="208" fontId="6" fillId="0" borderId="6" xfId="0" applyNumberFormat="1" applyFont="1" applyFill="1" applyBorder="1" applyAlignment="1">
      <x:alignment vertical="top" wrapText="1"/>
    </x:xf>
    <x:xf numFmtId="208" fontId="6" fillId="0" borderId="9" xfId="0" applyNumberFormat="1" applyFont="1" applyFill="1" applyBorder="1" applyAlignment="1">
      <x:alignment vertical="top" wrapText="1"/>
    </x:xf>
    <x:xf numFmtId="209" fontId="7" fillId="0" borderId="3" xfId="0" applyNumberFormat="1" applyFont="1" applyFill="1" applyBorder="1" applyAlignment="1">
      <x:alignment vertical="top" wrapText="1"/>
    </x:xf>
    <x:xf numFmtId="209" fontId="6" fillId="0" borderId="3" xfId="0" applyNumberFormat="1" applyFont="1" applyFill="1" applyBorder="1" applyAlignment="1">
      <x:alignment vertical="top" wrapText="1"/>
    </x:xf>
    <x:xf numFmtId="209" fontId="7" fillId="0" borderId="6" xfId="0" applyNumberFormat="1" applyFont="1" applyFill="1" applyBorder="1" applyAlignment="1">
      <x:alignment vertical="top" wrapText="1"/>
    </x:xf>
    <x:xf numFmtId="209" fontId="6" fillId="0" borderId="6" xfId="0" applyNumberFormat="1" applyFont="1" applyFill="1" applyBorder="1" applyAlignment="1">
      <x:alignment vertical="top" wrapText="1"/>
    </x:xf>
    <x:xf numFmtId="209" fontId="7" fillId="0" borderId="9" xfId="0" applyNumberFormat="1" applyFont="1" applyFill="1" applyBorder="1" applyAlignment="1">
      <x:alignment vertical="top" wrapText="1"/>
    </x:xf>
    <x:xf numFmtId="209" fontId="6" fillId="0" borderId="9" xfId="0" applyNumberFormat="1" applyFont="1" applyFill="1" applyBorder="1" applyAlignment="1">
      <x:alignment vertical="top" wrapText="1"/>
    </x:xf>
    <x:xf numFmtId="210" fontId="7" fillId="0" borderId="3" xfId="0" applyNumberFormat="1" applyFont="1" applyFill="1" applyBorder="1" applyAlignment="1">
      <x:alignment vertical="top" wrapText="1"/>
    </x:xf>
    <x:xf numFmtId="210" fontId="7" fillId="0" borderId="6" xfId="0" applyNumberFormat="1" applyFont="1" applyFill="1" applyBorder="1" applyAlignment="1">
      <x:alignment vertical="top" wrapText="1"/>
    </x:xf>
    <x:xf numFmtId="210" fontId="7" fillId="0" borderId="9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/>
    </x:xf>
    <x:xf numFmtId="206" fontId="0" fillId="0" borderId="3" xfId="0" applyNumberFormat="1" applyFont="1" applyFill="1" applyBorder="1" applyAlignment="1">
      <x:alignment vertical="top" wrapText="1"/>
    </x:xf>
    <x:xf numFmtId="206" fontId="0" fillId="0" borderId="6" xfId="0" applyNumberFormat="1" applyFont="1" applyFill="1" applyBorder="1" applyAlignment="1">
      <x:alignment vertical="top" wrapText="1"/>
    </x:xf>
    <x:xf numFmtId="206" fontId="0" fillId="0" borderId="9" xfId="0" applyNumberFormat="1" applyFont="1" applyFill="1" applyBorder="1" applyAlignment="1">
      <x:alignment vertical="top" wrapText="1"/>
    </x:xf>
    <x:xf numFmtId="207" fontId="0" fillId="0" borderId="3" xfId="0" applyNumberFormat="1" applyFont="1" applyFill="1" applyBorder="1" applyAlignment="1">
      <x:alignment vertical="top" wrapText="1"/>
    </x:xf>
    <x:xf numFmtId="207" fontId="0" fillId="0" borderId="6" xfId="0" applyNumberFormat="1" applyFont="1" applyFill="1" applyBorder="1" applyAlignment="1">
      <x:alignment vertical="top" wrapText="1"/>
    </x:xf>
    <x:xf numFmtId="207" fontId="0" fillId="0" borderId="9" xfId="0" applyNumberFormat="1" applyFont="1" applyFill="1" applyBorder="1" applyAlignment="1">
      <x:alignment vertical="top" wrapText="1"/>
    </x:xf>
    <x:xf numFmtId="209" fontId="0" fillId="0" borderId="3" xfId="0" applyNumberFormat="1" applyFont="1" applyFill="1" applyBorder="1" applyAlignment="1">
      <x:alignment vertical="top" wrapText="1"/>
    </x:xf>
    <x:xf numFmtId="209" fontId="0" fillId="0" borderId="6" xfId="0" applyNumberFormat="1" applyFont="1" applyFill="1" applyBorder="1" applyAlignment="1">
      <x:alignment vertical="top" wrapText="1"/>
    </x:xf>
    <x:xf numFmtId="209" fontId="0" fillId="0" borderId="9" xfId="0" applyNumberFormat="1" applyFont="1" applyFill="1" applyBorder="1" applyAlignment="1">
      <x:alignment vertical="top" wrapText="1"/>
    </x:xf>
    <x:xf numFmtId="208" fontId="0" fillId="0" borderId="3" xfId="0" applyNumberFormat="1" applyFont="1" applyFill="1" applyBorder="1" applyAlignment="1">
      <x:alignment vertical="top" wrapText="1"/>
    </x:xf>
    <x:xf numFmtId="208" fontId="0" fillId="0" borderId="6" xfId="0" applyNumberFormat="1" applyFont="1" applyFill="1" applyBorder="1" applyAlignment="1">
      <x:alignment vertical="top" wrapText="1"/>
    </x:xf>
    <x:xf numFmtId="208" fontId="0" fillId="0" borderId="9" xfId="0" applyNumberFormat="1" applyFont="1" applyFill="1" applyBorder="1" applyAlignment="1">
      <x:alignment vertical="top" wrapText="1"/>
    </x:xf>
    <x:xf numFmtId="210" fontId="0" fillId="0" borderId="3" xfId="0" applyNumberFormat="1" applyFont="1" applyFill="1" applyBorder="1" applyAlignment="1">
      <x:alignment vertical="top" wrapText="1"/>
    </x:xf>
    <x:xf numFmtId="210" fontId="0" fillId="0" borderId="6" xfId="0" applyNumberFormat="1" applyFont="1" applyFill="1" applyBorder="1" applyAlignment="1">
      <x:alignment vertical="top" wrapText="1"/>
    </x:xf>
    <x:xf numFmtId="210" fontId="0" fillId="0" borderId="9" xfId="0" applyNumberFormat="1" applyFont="1" applyFill="1" applyBorder="1" applyAlignment="1">
      <x:alignment vertical="top" wrapText="1"/>
    </x:xf>
    <x:xf numFmtId="203" fontId="3" fillId="10" borderId="0" xfId="0" applyNumberFormat="1" applyFont="1" applyFill="1" applyBorder="1" applyAlignment="1">
      <x:alignment horizontal="center"/>
    </x:xf>
    <x:xf numFmtId="210" fontId="0" fillId="0" borderId="3" xfId="0" applyNumberFormat="1" applyFont="1" applyFill="1" applyBorder="1"/>
    <x:xf numFmtId="210" fontId="0" fillId="0" borderId="6" xfId="0" applyNumberFormat="1" applyFont="1" applyFill="1" applyBorder="1"/>
    <x:xf numFmtId="210" fontId="0" fillId="0" borderId="9" xfId="0" applyNumberFormat="1" applyFont="1" applyFill="1" applyBorder="1"/>
    <x:xf numFmtId="200" fontId="0" fillId="0" borderId="4" xfId="0" applyNumberFormat="1" applyFont="1" applyFill="1" applyBorder="1"/>
    <x:xf numFmtId="200" fontId="0" fillId="0" borderId="7" xfId="0" applyNumberFormat="1" applyFont="1" applyFill="1" applyBorder="1"/>
    <x:xf numFmtId="200" fontId="0" fillId="0" borderId="10" xfId="0" applyNumberFormat="1" applyFont="1" applyFill="1" applyBorder="1"/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3" fontId="3" fillId="4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12" borderId="0" xfId="0" applyNumberFormat="1" applyFont="1" applyFill="1" applyBorder="1"/>
    <x:xf numFmtId="211" fontId="2" fillId="12" borderId="0" xfId="0" applyNumberFormat="1" applyFont="1" applyFill="1" applyBorder="1"/>
    <x:xf numFmtId="204" fontId="0" fillId="5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horizontal="center"/>
    </x:xf>
    <x:xf numFmtId="0" fontId="4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0" fillId="18" borderId="0" xfId="0" applyNumberFormat="1" applyFont="1" applyFill="1" applyBorder="1"/>
    <x:xf numFmtId="0" fontId="2" fillId="18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17" borderId="0" xfId="0" applyNumberFormat="1" applyFont="1" applyFill="1" applyBorder="1"/>
    <x:xf numFmtId="200" fontId="0" fillId="18" borderId="0" xfId="0" applyNumberFormat="1" applyFont="1" applyFill="1" applyBorder="1"/>
    <x:xf numFmtId="202" fontId="0" fillId="0" borderId="0" xfId="0" applyNumberFormat="1" applyFont="1" applyFill="1" applyBorder="1"/>
    <x:xf numFmtId="202" fontId="0" fillId="18" borderId="0" xfId="0" applyNumberFormat="1" applyFont="1" applyFill="1" applyBorder="1"/>
    <x:xf numFmtId="205" fontId="0" fillId="18" borderId="0" xfId="0" applyNumberFormat="1" applyFont="1" applyFill="1" applyBorder="1"/>
    <x:xf numFmtId="201" fontId="0" fillId="19" borderId="0" xfId="0" applyNumberFormat="1" applyFont="1" applyFill="1" applyBorder="1" applyAlignment="1">
      <x:alignment wrapText="1"/>
    </x:xf>
    <x:xf numFmtId="0" fontId="5" fillId="19" borderId="0" xfId="0" applyNumberFormat="1" applyFont="1" applyFill="1" applyBorder="1" applyAlignment="1">
      <x:alignment wrapText="1"/>
    </x:xf>
    <x:xf numFmtId="201" fontId="5" fillId="19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wrapText="1"/>
    </x:xf>
    <x:xf numFmtId="201" fontId="0" fillId="18" borderId="0" xfId="0" applyNumberFormat="1" applyFont="1" applyFill="1" applyBorder="1" applyAlignment="1">
      <x:alignment wrapText="1"/>
    </x:xf>
    <x:xf numFmtId="0" fontId="2" fillId="18" borderId="0" xfId="0" applyNumberFormat="1" applyFont="1" applyFill="1" applyBorder="1" applyAlignment="1">
      <x:alignment wrapText="1"/>
    </x:xf>
    <x:xf numFmtId="201" fontId="2" fillId="18" borderId="0" xfId="0" applyNumberFormat="1" applyFont="1" applyFill="1" applyBorder="1" applyAlignment="1">
      <x:alignment wrapText="1"/>
    </x:xf>
    <x:xf numFmtId="202" fontId="2" fillId="18" borderId="0" xfId="0" applyNumberFormat="1" applyFont="1" applyFill="1" applyBorder="1" applyAlignment="1">
      <x:alignment wrapText="1"/>
    </x:xf>
    <x:xf numFmtId="205" fontId="0" fillId="6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7273da93fb499f" /><Relationship Type="http://schemas.openxmlformats.org/officeDocument/2006/relationships/theme" Target="/xl/theme/theme1.xml" Id="Re3a2f413f2604cec" /><Relationship Type="http://schemas.openxmlformats.org/officeDocument/2006/relationships/sharedStrings" Target="/xl/sharedStrings.xml" Id="R422d9d94ffb44005" /><Relationship Type="http://schemas.openxmlformats.org/officeDocument/2006/relationships/worksheet" Target="/xl/worksheets/sheet1.xml" Id="R6b2101a2dc7644b8" /><Relationship Type="http://schemas.openxmlformats.org/officeDocument/2006/relationships/worksheet" Target="/xl/worksheets/sheet2.xml" Id="Rc0be5c03d8f247cc" /><Relationship Type="http://schemas.openxmlformats.org/officeDocument/2006/relationships/worksheet" Target="/xl/worksheets/sheet3.xml" Id="R0b3a8c8276ea4d9b" /><Relationship Type="http://schemas.openxmlformats.org/officeDocument/2006/relationships/worksheet" Target="/xl/worksheets/sheet4.xml" Id="R8a5c8053d7884cb1" /><Relationship Type="http://schemas.openxmlformats.org/officeDocument/2006/relationships/worksheet" Target="/xl/worksheets/sheet5.xml" Id="R62d5da8294f94960" /><Relationship Type="http://schemas.openxmlformats.org/officeDocument/2006/relationships/worksheet" Target="/xl/worksheets/sheet6.xml" Id="Raa96d56d26bb4775" /><Relationship Type="http://schemas.microsoft.com/office/2017/10/relationships/person" Target="/xl/persons/person.xml" Id="R13d4ac0984fd458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dd1851026f4c31" /><Relationship Type="http://schemas.openxmlformats.org/officeDocument/2006/relationships/chart" Target="/xl/drawings/charts/chart2.xml" Id="R827ef16c49d14d4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86772edece1402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EBIT sensitivity by customer rate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Long Distance EBIT</c:v>
          </c:tx>
          <c:cat>
            <c:strRef>
              <c:f>'Sensitivity'!$A$16:$A$28</c:f>
              <c:strCache>
                <c:ptCount val="0"/>
              </c:strCache>
            </c:strRef>
          </c:cat>
          <c:val>
            <c:numRef>
              <c:f>'Sensitivity'!$B$16:$B$28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Regional EBIT</c:v>
          </c:tx>
          <c:cat>
            <c:strRef>
              <c:f>'Sensitivity'!$A$16:$A$28</c:f>
              <c:strCache>
                <c:ptCount val="0"/>
              </c:strCache>
            </c:strRef>
          </c:cat>
          <c:val>
            <c:numRef>
              <c:f>'Sensitivity'!$C$16:$C$28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Break-even EUR/tonne-km</c:v>
          </c:tx>
          <c:cat>
            <c:strRef>
              <c:f>'Sensitivity'!$A$34:$A$42</c:f>
              <c:strCache>
                <c:ptCount val="0"/>
              </c:strCache>
            </c:strRef>
          </c:cat>
          <c:val>
            <c:numRef>
              <c:f>'Sensitivity'!$H$34:$H$42</c:f>
              <c:numCache>
                <c:formatCode>€0.0000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Customer rate by markup over break-even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LD final rate</c:v>
          </c:tx>
          <c:cat>
            <c:strRef>
              <c:f>'Pricing Scenarios'!$K$4:$K$13</c:f>
              <c:strCache>
                <c:ptCount val="0"/>
              </c:strCache>
            </c:strRef>
          </c:cat>
          <c:val>
            <c:numRef>
              <c:f>'Pricing Scenarios'!$L$4:$L$13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Regional final rate</c:v>
          </c:tx>
          <c:cat>
            <c:strRef>
              <c:f>'Pricing Scenarios'!$K$4:$K$13</c:f>
              <c:strCache>
                <c:ptCount val="0"/>
              </c:strCache>
            </c:strRef>
          </c:cat>
          <c:val>
            <c:numRef>
              <c:f>'Pricing Scenarios'!$M$4:$M$13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dd1851026f4c31"/>
        </a:graphicData>
      </a:graphic>
    </xdr:graphicFrame>
    <xdr:clientData/>
  </xdr:twoCellAnchor>
  <xdr:twoCellAnchor>
    <xdr:from>
      <xdr:col>12</xdr:col>
      <xdr:colOff>0</xdr:colOff>
      <xdr:row>30</xdr:row>
      <xdr:rowOff>0</xdr:rowOff>
    </xdr:from>
    <xdr:to>
      <xdr:col>21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7ef16c49d14d4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14</xdr:row>
      <xdr:rowOff>0</xdr:rowOff>
    </xdr:from>
    <xdr:to>
      <xdr:col>18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6772edece1402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2C3D1A10-3C36-4DC0-ACC3-F42FCE95DBC7}"/>
  <xltc:person displayName="OpenAI" id="{F6501C23-CBBB-456D-AF41-92D0E3CC1A9A}"/>
</xltc:personList>
</file>

<file path=xl/tables/table1.xml><?xml version="1.0" encoding="utf-8"?>
<x:table xmlns:x="http://schemas.openxmlformats.org/spreadsheetml/2006/main" id="1" name="InputsTable" displayName="InputsTable" ref="A1:E27" headerRowCount="1">
  <x:tableColumns count="5">
    <x:tableColumn id="1" name="Input"/>
    <x:tableColumn id="2" name="Unit"/>
    <x:tableColumn id="3" name="Long Distance 40t"/>
    <x:tableColumn id="4" name="Regional 40t"/>
    <x:tableColumn id="5" name="Comment"/>
  </x:tableColumns>
  <x:tableStyleInfo name="TableStyleMedium2" showRowStripes="1"/>
</x:table>
</file>

<file path=xl/tables/table2.xml><?xml version="1.0" encoding="utf-8"?>
<x:table xmlns:x="http://schemas.openxmlformats.org/spreadsheetml/2006/main" id="2" name="EngineTable" displayName="EngineTable" ref="A1:E75" headerRowCount="1">
  <x:tableColumns count="5">
    <x:tableColumn id="1" name="Metric"/>
    <x:tableColumn id="2" name="Unit"/>
    <x:tableColumn id="3" name="Long Distance 40t"/>
    <x:tableColumn id="4" name="Regional 40t"/>
    <x:tableColumn id="5" name="Formula logi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d82b85a63e4d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bf2a63202a41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ca2f299b40e44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523c3b5983ee4348" /></Relationships>
</file>

<file path=xl/worksheets/sheet1.xml><?xml version="1.0" encoding="utf-8"?>
<x:worksheet xmlns:x="http://schemas.openxmlformats.org/spreadsheetml/2006/main">
  <x:sheetFormatPr defaultRowHeight="15"/>
  <x:cols>
    <x:col min="1" max="1" width="33.779998779296875" hidden="0" customWidth="1"/>
    <x:col min="2" max="2" width="90" hidden="0" customWidth="1"/>
  </x:cols>
  <x:sheetData>
    <x:row r="1">
      <x:c r="A1" s="12" t="str">
        <x:v>Break-even transport engine</x:v>
      </x:c>
      <x:c r="B1" s="13" t="str"/>
      <x:c r="C1" s="13" t="str"/>
      <x:c r="D1" s="13" t="str"/>
    </x:row>
    <x:row r="2">
      <x:c r="A2" s="14" t="str">
        <x:v>Purpose</x:v>
      </x:c>
      <x:c r="B2" s="13" t="str">
        <x:v>Calculate the loaded-km rate, utilisation and revenue required for break-even and target EBIT margin.</x:v>
      </x:c>
      <x:c r="C2" s="13" t="str"/>
      <x:c r="D2" s="13" t="str"/>
    </x:row>
    <x:row r="3">
      <x:c r="A3" s="14" t="str">
        <x:v>Model design</x:v>
      </x:c>
      <x:c r="B3" s="13" t="str">
        <x:v>Separates variable €/km costs from fixed annual costs, driver costs, structural overhead and optional platform/admin cost.</x:v>
      </x:c>
      <x:c r="C3" s="13" t="str"/>
      <x:c r="D3" s="13" t="str"/>
    </x:row>
    <x:row r="4">
      <x:c r="A4" s="14" t="str">
        <x:v>Improvement vs original sheet</x:v>
      </x:c>
      <x:c r="B4" s="13" t="str">
        <x:v>Driver taxes are calculated from salary using the tax percentage instead of a hardcoded daily tax value.</x:v>
      </x:c>
      <x:c r="C4" s="13" t="str"/>
      <x:c r="D4" s="13" t="str"/>
    </x:row>
    <x:row r="5">
      <x:c r="A5" s="14" t="str">
        <x:v>Key output</x:v>
      </x:c>
      <x:c r="B5" s="13" t="str">
        <x:v>Break-even price per loaded km, required price for target margin, break-even loaded km, break-even utilisation, EBIT and safety margin.</x:v>
      </x:c>
      <x:c r="C5" s="13" t="str"/>
      <x:c r="D5" s="13" t="str"/>
    </x:row>
    <x:row r="6">
      <x:c r="A6" s="14" t="str">
        <x:v>How to use</x:v>
      </x:c>
      <x:c r="B6" s="13" t="str">
        <x:v>Edit assumptions in Inputs. Review results in Engine. Use Sensitivity to test price and load factor.</x:v>
      </x:c>
      <x:c r="C6" s="13" t="str"/>
      <x:c r="D6" s="13" t="str"/>
    </x:row>
    <x:row r="7">
      <x:c r="A7" s="14" t="str">
        <x:v>Note</x:v>
      </x:c>
      <x:c r="B7" s="13" t="str">
        <x:v>Values are prefilled from the uploaded Vehicle1 and Vehicle2 sheets and can be overwritten.</x:v>
      </x:c>
      <x:c r="C7" s="13" t="str"/>
      <x:c r="D7" s="13" t="str"/>
    </x:row>
    <x:row r="9">
      <x:c r="A9" s="143" t="str">
        <x:v>Added in this version</x:v>
      </x:c>
      <x:c r="B9" s="143"/>
    </x:row>
    <x:row r="10">
      <x:c r="A10" s="69" t="str">
        <x:v>Vehicle Classes</x:v>
      </x:c>
      <x:c r="B10" s="13" t="str">
        <x:v>New editable assumption table covering van, rigid trucks, 40t/44t articulated vehicles and EMS/high-capacity 60t scenario.</x:v>
      </x:c>
    </x:row>
    <x:row r="11">
      <x:c r="A11" s="69" t="str">
        <x:v>Sensitivity</x:v>
      </x:c>
      <x:c r="B11" s="13" t="str">
        <x:v>New load-capability section compares break-even EUR/loaded-km and EUR/tonne-km by vehicle class.</x:v>
      </x:c>
    </x:row>
    <x:row r="12">
      <x:c r="A12" s="69" t="str">
        <x:v>Payload utilisation matrix</x:v>
      </x:c>
      <x:c r="B12" s="13" t="str">
        <x:v>Shows how underloading increases break-even EUR/tonne-km for the same truck type.</x:v>
      </x:c>
    </x:row>
    <x:row r="13">
      <x:c r="A13" s="69" t="str">
        <x:v>Regulatory caution</x:v>
      </x:c>
      <x:c r="B13" s="13" t="str">
        <x:v>40t/44t and EMS/high-capacity assumptions depend on the relevant country, route, axle configuration, and permit regime.</x:v>
      </x:c>
    </x:row>
    <x:row r="14">
      <x:c r="A14" s="69" t="str">
        <x:v>Sources</x:v>
      </x:c>
      <x:c r="B14" s="13" t="str">
        <x:v>Public source URLs are included on the Vehicle Classes sheet.</x:v>
      </x:c>
    </x:row>
    <x:row r="15">
      <x:c r="A15" s="69" t="str">
        <x:v>Model status</x:v>
      </x:c>
      <x:c r="B15" s="13" t="str">
        <x:v>Truck-class cost values are modelling assumptions and should be replaced with actual fleet quotes when available.</x:v>
      </x:c>
    </x:row>
    <x:row r="16">
      <x:c r="A16" s="180" t="str">
        <x:v>Daily km driver</x:v>
      </x:c>
      <x:c r="B16" s="181" t="str">
        <x:v>The model now asks for Daily km in Inputs row 2. Annual total km is calculated in Inputs row 28 as Daily km × Operating days, and the Engine uses that calculated annual value.</x:v>
      </x:c>
    </x:row>
    <x:row r="17">
      <x:c r="A17" t="str">
        <x:v>Pricing Scenarios</x:v>
      </x:c>
      <x:c r="B17" t="str">
        <x:v>Customer rate is now calculated after break-even as break-even price × selected markup. It is no longer entered in Inputs.</x:v>
      </x:c>
    </x:row>
    <x:row r="18">
      <x:c r="A18" t="str">
        <x:v>Pricing caution</x:v>
      </x:c>
      <x:c r="B18" t="str">
        <x:v>Markup over break-even and EBIT margin are not identical. The sheet includes a cross-check for the markup required to reach the target EBIT margin.</x:v>
      </x:c>
    </x:row>
  </x:sheetData>
  <x:mergeCells>
    <x:mergeCell ref="A1:D1"/>
    <x:mergeCell ref="A9:B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12.380000114440918" hidden="0" customWidth="1"/>
    <x:col min="3" max="3" width="14.399999618530273" hidden="0" customWidth="1"/>
    <x:col min="4" max="4" width="10.09000015258789" hidden="0" customWidth="1"/>
    <x:col min="5" max="5" width="36.34000015258789" hidden="0" customWidth="1"/>
  </x:cols>
  <x:sheetData>
    <x:row r="1">
      <x:c r="A1" s="24" t="str">
        <x:v>Input</x:v>
      </x:c>
      <x:c r="B1" s="24" t="str">
        <x:v>Unit</x:v>
      </x:c>
      <x:c r="C1" s="24" t="str">
        <x:v>Long Distance 40t</x:v>
      </x:c>
      <x:c r="D1" s="24" t="str">
        <x:v>Regional 40t</x:v>
      </x:c>
      <x:c r="E1" s="24" t="str">
        <x:v>Comment</x:v>
      </x:c>
    </x:row>
    <x:row r="2">
      <x:c r="A2" s="13" t="str">
        <x:v>Daily km</x:v>
      </x:c>
      <x:c r="B2" s="13" t="str">
        <x:v>km/day</x:v>
      </x:c>
      <x:c r="C2" s="178" t="n">
        <x:v>495.18388791593696</x:v>
      </x:c>
      <x:c r="D2" s="178" t="n">
        <x:v>421.505376344086</x:v>
      </x:c>
      <x:c r="E2" s="13" t="str">
        <x:v>Editable daily distance; annual total km is calculated as daily km × operating days</x:v>
      </x:c>
    </x:row>
    <x:row r="3">
      <x:c r="A3" s="13" t="str">
        <x:v>Operating days</x:v>
      </x:c>
      <x:c r="B3" s="13" t="str">
        <x:v>days/year</x:v>
      </x:c>
      <x:c r="C3" s="30" t="n">
        <x:v>228.4</x:v>
      </x:c>
      <x:c r="D3" s="30" t="n">
        <x:v>232.5</x:v>
      </x:c>
      <x:c r="E3" s="13" t="str">
        <x:v>Vehicle operating days</x:v>
      </x:c>
    </x:row>
    <x:row r="4">
      <x:c r="A4" s="13" t="str">
        <x:v>Working days</x:v>
      </x:c>
      <x:c r="B4" s="13" t="str">
        <x:v>days/year</x:v>
      </x:c>
      <x:c r="C4" s="30" t="n">
        <x:v>215.2</x:v>
      </x:c>
      <x:c r="D4" s="30" t="n">
        <x:v>214.6</x:v>
      </x:c>
      <x:c r="E4" s="13" t="str">
        <x:v>Used for driver allowance calculation</x:v>
      </x:c>
    </x:row>
    <x:row r="5">
      <x:c r="A5" s="13" t="str">
        <x:v>Annual working hours</x:v>
      </x:c>
      <x:c r="B5" s="13" t="str">
        <x:v>hours/year</x:v>
      </x:c>
      <x:c r="C5" s="30" t="n">
        <x:v>2123</x:v>
      </x:c>
      <x:c r="D5" s="30" t="n">
        <x:v>2058</x:v>
      </x:c>
      <x:c r="E5" s="13" t="str">
        <x:v>Available driver working hours</x:v>
      </x:c>
    </x:row>
    <x:row r="6">
      <x:c r="A6" s="13" t="str">
        <x:v>Average speed</x:v>
      </x:c>
      <x:c r="B6" s="13" t="str">
        <x:v>km/h</x:v>
      </x:c>
      <x:c r="C6" s="30" t="n">
        <x:v>63.9</x:v>
      </x:c>
      <x:c r="D6" s="30" t="n">
        <x:v>62.5</x:v>
      </x:c>
      <x:c r="E6" s="13" t="str">
        <x:v>Used to estimate driving hours</x:v>
      </x:c>
    </x:row>
    <x:row r="7">
      <x:c r="A7" s="13" t="str">
        <x:v>Loaded ratio</x:v>
      </x:c>
      <x:c r="B7" s="13" t="str">
        <x:v>% loaded km</x:v>
      </x:c>
      <x:c r="C7" s="28" t="n">
        <x:v>0.853</x:v>
      </x:c>
      <x:c r="D7" s="28" t="n">
        <x:v>0.805</x:v>
      </x:c>
      <x:c r="E7" s="13" t="str">
        <x:v>Revenue km divided by total km</x:v>
      </x:c>
    </x:row>
    <x:row r="8">
      <x:c r="A8" s="13" t="str">
        <x:v>Capacity utilisation</x:v>
      </x:c>
      <x:c r="B8" s="13" t="str">
        <x:v>% capacity</x:v>
      </x:c>
      <x:c r="C8" s="28" t="n">
        <x:v>0.868</x:v>
      </x:c>
      <x:c r="D8" s="28" t="n">
        <x:v>0.939</x:v>
      </x:c>
      <x:c r="E8" s="13" t="str">
        <x:v>Payload/capacity usage; diagnostic only</x:v>
      </x:c>
    </x:row>
    <x:row r="9">
      <x:c r="A9" s="13" t="str">
        <x:v>Waiting/loading/unloading time</x:v>
      </x:c>
      <x:c r="B9" s="13" t="str">
        <x:v>hours/day</x:v>
      </x:c>
      <x:c r="C9" s="30" t="n">
        <x:v>3.3833333333</x:v>
      </x:c>
      <x:c r="D9" s="30" t="n">
        <x:v>3.4</x:v>
      </x:c>
      <x:c r="E9" s="13" t="str">
        <x:v>Converted from original waiting-time text</x:v>
      </x:c>
    </x:row>
    <x:row r="10">
      <x:c r="A10" s="13" t="str">
        <x:v>Fuel consumption</x:v>
      </x:c>
      <x:c r="B10" s="13" t="str">
        <x:v>L/100km</x:v>
      </x:c>
      <x:c r="C10" s="30" t="n">
        <x:v>34.2</x:v>
      </x:c>
      <x:c r="D10" s="30" t="n">
        <x:v>33.8</x:v>
      </x:c>
      <x:c r="E10" s="13" t="str">
        <x:v>Average consumption</x:v>
      </x:c>
    </x:row>
    <x:row r="11">
      <x:c r="A11" s="13" t="str">
        <x:v>Fuel price excl. VAT</x:v>
      </x:c>
      <x:c r="B11" s="13" t="str">
        <x:v>EUR/L</x:v>
      </x:c>
      <x:c r="C11" s="30" t="n">
        <x:v>1.265524625</x:v>
      </x:c>
      <x:c r="D11" s="30" t="n">
        <x:v>1.265524625</x:v>
      </x:c>
      <x:c r="E11" s="13" t="str">
        <x:v>Original formula 5.91 / 4.67</x:v>
      </x:c>
    </x:row>
    <x:row r="12">
      <x:c r="A12" s="13" t="str">
        <x:v>Tyres annual cost</x:v>
      </x:c>
      <x:c r="B12" s="13" t="str">
        <x:v>EUR/year</x:v>
      </x:c>
      <x:c r="C12" s="30" t="n">
        <x:v>3098</x:v>
      </x:c>
      <x:c r="D12" s="30" t="n">
        <x:v>3101</x:v>
      </x:c>
      <x:c r="E12" s="13" t="str"/>
    </x:row>
    <x:row r="13">
      <x:c r="A13" s="13" t="str">
        <x:v>Maintenance annual cost</x:v>
      </x:c>
      <x:c r="B13" s="13" t="str">
        <x:v>EUR/year</x:v>
      </x:c>
      <x:c r="C13" s="30" t="n">
        <x:v>8221</x:v>
      </x:c>
      <x:c r="D13" s="30" t="n">
        <x:v>7278</x:v>
      </x:c>
      <x:c r="E13" s="13" t="str"/>
    </x:row>
    <x:row r="14">
      <x:c r="A14" s="13" t="str">
        <x:v>Road fees annual cost</x:v>
      </x:c>
      <x:c r="B14" s="13" t="str">
        <x:v>EUR/year</x:v>
      </x:c>
      <x:c r="C14" s="30" t="n">
        <x:v>8090</x:v>
      </x:c>
      <x:c r="D14" s="30" t="n">
        <x:v>5805</x:v>
      </x:c>
      <x:c r="E14" s="13" t="str"/>
    </x:row>
    <x:row r="15">
      <x:c r="A15" s="13" t="str">
        <x:v>Tractor ownership annual cost</x:v>
      </x:c>
      <x:c r="B15" s="13" t="str">
        <x:v>EUR/year</x:v>
      </x:c>
      <x:c r="C15" s="30" t="n">
        <x:v>10793</x:v>
      </x:c>
      <x:c r="D15" s="30" t="n">
        <x:v>10934</x:v>
      </x:c>
      <x:c r="E15" s="13" t="str"/>
    </x:row>
    <x:row r="16">
      <x:c r="A16" s="13" t="str">
        <x:v>Trailer ownership annual cost</x:v>
      </x:c>
      <x:c r="B16" s="13" t="str">
        <x:v>EUR/year</x:v>
      </x:c>
      <x:c r="C16" s="30" t="n">
        <x:v>3208</x:v>
      </x:c>
      <x:c r="D16" s="30" t="n">
        <x:v>3551</x:v>
      </x:c>
      <x:c r="E16" s="13" t="str"/>
    </x:row>
    <x:row r="17">
      <x:c r="A17" s="13" t="str">
        <x:v>Vehicle insurance annual</x:v>
      </x:c>
      <x:c r="B17" s="13" t="str">
        <x:v>EUR/year</x:v>
      </x:c>
      <x:c r="C17" s="30" t="n">
        <x:v>2198</x:v>
      </x:c>
      <x:c r="D17" s="30" t="n">
        <x:v>2598</x:v>
      </x:c>
      <x:c r="E17" s="13" t="str"/>
    </x:row>
    <x:row r="18">
      <x:c r="A18" s="13" t="str">
        <x:v>Cargo insurance annual</x:v>
      </x:c>
      <x:c r="B18" s="13" t="str">
        <x:v>EUR/year</x:v>
      </x:c>
      <x:c r="C18" s="30" t="n">
        <x:v>477</x:v>
      </x:c>
      <x:c r="D18" s="30" t="n">
        <x:v>411</x:v>
      </x:c>
      <x:c r="E18" s="13" t="str"/>
    </x:row>
    <x:row r="19">
      <x:c r="A19" s="13" t="str">
        <x:v>Vehicle taxes annual</x:v>
      </x:c>
      <x:c r="B19" s="13" t="str">
        <x:v>EUR/year</x:v>
      </x:c>
      <x:c r="C19" s="30" t="n">
        <x:v>561</x:v>
      </x:c>
      <x:c r="D19" s="30" t="n">
        <x:v>577</x:v>
      </x:c>
      <x:c r="E19" s="13" t="str"/>
    </x:row>
    <x:row r="20">
      <x:c r="A20" s="13" t="str">
        <x:v>Monthly driver salary</x:v>
      </x:c>
      <x:c r="B20" s="13" t="str">
        <x:v>EUR/month</x:v>
      </x:c>
      <x:c r="C20" s="30" t="n">
        <x:v>2348.72</x:v>
      </x:c>
      <x:c r="D20" s="30" t="n">
        <x:v>2182.15</x:v>
      </x:c>
      <x:c r="E20" s="13" t="str"/>
    </x:row>
    <x:row r="21">
      <x:c r="A21" s="13" t="str">
        <x:v>Employer tax rate on salary</x:v>
      </x:c>
      <x:c r="B21" s="13" t="str">
        <x:v>%</x:v>
      </x:c>
      <x:c r="C21" s="28" t="n">
        <x:v>0.4759</x:v>
      </x:c>
      <x:c r="D21" s="28" t="n">
        <x:v>0.4706</x:v>
      </x:c>
      <x:c r="E21" s="13" t="str">
        <x:v>Improved: used directly in salary cost formula</x:v>
      </x:c>
    </x:row>
    <x:row r="22">
      <x:c r="A22" s="13" t="str">
        <x:v>Travel allowance per working day</x:v>
      </x:c>
      <x:c r="B22" s="13" t="str">
        <x:v>EUR/day</x:v>
      </x:c>
      <x:c r="C22" s="30" t="n">
        <x:v>38.36</x:v>
      </x:c>
      <x:c r="D22" s="30" t="n">
        <x:v>16.53</x:v>
      </x:c>
      <x:c r="E22" s="13" t="str"/>
    </x:row>
    <x:row r="23">
      <x:c r="A23" s="13" t="str">
        <x:v>Drivers per vehicle</x:v>
      </x:c>
      <x:c r="B23" s="13" t="str">
        <x:v>count</x:v>
      </x:c>
      <x:c r="C23" s="30" t="n">
        <x:v>1.064</x:v>
      </x:c>
      <x:c r="D23" s="30" t="n">
        <x:v>1.085</x:v>
      </x:c>
      <x:c r="E23" s="13" t="str"/>
    </x:row>
    <x:row r="24">
      <x:c r="A24" s="13" t="str">
        <x:v>Structural overhead annual</x:v>
      </x:c>
      <x:c r="B24" s="13" t="str">
        <x:v>EUR/year</x:v>
      </x:c>
      <x:c r="C24" s="30" t="n">
        <x:v>17886</x:v>
      </x:c>
      <x:c r="D24" s="30" t="n">
        <x:v>17820</x:v>
      </x:c>
      <x:c r="E24" s="13" t="str"/>
    </x:row>
    <x:row r="25">
      <x:c r="A25" s="13" t="str">
        <x:v>Commercial/admin overhead annual cost</x:v>
      </x:c>
      <x:c r="B25" s="13" t="str">
        <x:v>EUR/year</x:v>
      </x:c>
      <x:c r="C25" s="30" t="n">
        <x:v>0</x:v>
      </x:c>
      <x:c r="D25" s="30" t="n">
        <x:v>0</x:v>
      </x:c>
      <x:c r="E25" s="13" t="str">
        <x:v>Optional general commercial overhead, set to zero by default</x:v>
      </x:c>
    </x:row>
    <x:row r="26">
      <x:c r="A26" s="13" t="str">
        <x:v>Target EBIT margin</x:v>
      </x:c>
      <x:c r="B26" s="13" t="str">
        <x:v>% revenue</x:v>
      </x:c>
      <x:c r="C26" s="28" t="n">
        <x:v>0.1</x:v>
      </x:c>
      <x:c r="D26" s="28" t="n">
        <x:v>0.1</x:v>
      </x:c>
      <x:c r="E26" s="13" t="str">
        <x:v>Required margin on revenue</x:v>
      </x:c>
    </x:row>
    <x:row r="27">
      <x:c r="A27" s="206" t="str">
        <x:v>Customer pricing source</x:v>
      </x:c>
      <x:c r="B27" s="206" t="str">
        <x:v>sheet</x:v>
      </x:c>
      <x:c r="C27" s="207" t="str">
        <x:v>Pricing Scenarios</x:v>
      </x:c>
      <x:c r="D27" s="207" t="str">
        <x:v>Pricing Scenarios</x:v>
      </x:c>
      <x:c r="E27" s="206" t="str">
        <x:v>Customer rate is calculated after break-even; it is no longer an input assumption.</x:v>
      </x:c>
    </x:row>
    <x:row r="28">
      <x:c r="A28" s="176" t="str">
        <x:v>Computed annual total km</x:v>
      </x:c>
      <x:c r="B28" s="176" t="str">
        <x:v>km/year</x:v>
      </x:c>
      <x:c r="C28" s="177" t="n">
        <x:f>C2*C3</x:f>
        <x:v>113100</x:v>
      </x:c>
      <x:c r="D28" s="177" t="n">
        <x:f>D2*D3</x:f>
        <x:v>98000</x:v>
      </x:c>
      <x:c r="E28" s="176" t="str">
        <x:v>Formula: daily km × operating days</x:v>
      </x:c>
    </x:row>
  </x:sheetData>
  <x:pageMargins left="0.7" right="0.7" top="0.75" bottom="0.75" header="0.3" footer="0.3"/>
  <x:tableParts count="1">
    <x:tablePart xmlns:r="http://schemas.openxmlformats.org/officeDocument/2006/relationships" r:id="R75d82b85a63e4d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5.130001068115234" hidden="0" customWidth="1"/>
    <x:col min="2" max="2" width="12.380000114440918" hidden="0" customWidth="1"/>
    <x:col min="3" max="3" width="14.399999618530273" hidden="0" customWidth="1"/>
    <x:col min="4" max="4" width="10.09000015258789" hidden="0" customWidth="1"/>
    <x:col min="5" max="5" width="42.65999984741211" hidden="0" customWidth="1"/>
  </x:cols>
  <x:sheetData>
    <x:row r="1">
      <x:c r="A1" s="24" t="str">
        <x:v>Metric</x:v>
      </x:c>
      <x:c r="B1" s="24" t="str">
        <x:v>Unit</x:v>
      </x:c>
      <x:c r="C1" s="24" t="str">
        <x:v>Long Distance 40t</x:v>
      </x:c>
      <x:c r="D1" s="24" t="str">
        <x:v>Regional 40t</x:v>
      </x:c>
      <x:c r="E1" s="24" t="str">
        <x:v>Formula logic</x:v>
      </x:c>
    </x:row>
    <x:row r="2">
      <x:c r="A2" s="14" t="str">
        <x:v>Input links</x:v>
      </x:c>
      <x:c r="B2" s="14" t="str"/>
      <x:c r="C2" s="14" t="str"/>
      <x:c r="D2" s="14" t="str"/>
      <x:c r="E2" s="14" t="str"/>
    </x:row>
    <x:row r="3">
      <x:c r="A3" s="13" t="str">
        <x:v>Annual total km</x:v>
      </x:c>
      <x:c r="B3" s="13" t="str">
        <x:v>km/year</x:v>
      </x:c>
      <x:c r="C3" s="36" t="n">
        <x:f>Inputs!C28</x:f>
        <x:v>113100</x:v>
      </x:c>
      <x:c r="D3" s="36" t="n">
        <x:f>Inputs!D28</x:f>
        <x:v>98000</x:v>
      </x:c>
      <x:c r="E3" s="13" t="str">
        <x:v>Computed from daily km × operating days</x:v>
      </x:c>
    </x:row>
    <x:row r="4">
      <x:c r="A4" s="13" t="str">
        <x:v>Operating days</x:v>
      </x:c>
      <x:c r="B4" s="13" t="str">
        <x:v>days/year</x:v>
      </x:c>
      <x:c r="C4" s="36" t="n">
        <x:f>Inputs!C3</x:f>
        <x:v>228.4</x:v>
      </x:c>
      <x:c r="D4" s="36" t="n">
        <x:f>Inputs!D3</x:f>
        <x:v>232.5</x:v>
      </x:c>
      <x:c r="E4" s="13" t="str">
        <x:v>Inputs</x:v>
      </x:c>
    </x:row>
    <x:row r="5">
      <x:c r="A5" s="13" t="str">
        <x:v>Working days</x:v>
      </x:c>
      <x:c r="B5" s="13" t="str">
        <x:v>days/year</x:v>
      </x:c>
      <x:c r="C5" s="36" t="n">
        <x:f>Inputs!C4</x:f>
        <x:v>215.2</x:v>
      </x:c>
      <x:c r="D5" s="36" t="n">
        <x:f>Inputs!D4</x:f>
        <x:v>214.6</x:v>
      </x:c>
      <x:c r="E5" s="13" t="str">
        <x:v>Inputs</x:v>
      </x:c>
    </x:row>
    <x:row r="6">
      <x:c r="A6" s="13" t="str">
        <x:v>Annual working hours</x:v>
      </x:c>
      <x:c r="B6" s="13" t="str">
        <x:v>hours/year</x:v>
      </x:c>
      <x:c r="C6" s="36" t="n">
        <x:f>Inputs!C5</x:f>
        <x:v>2123</x:v>
      </x:c>
      <x:c r="D6" s="36" t="n">
        <x:f>Inputs!D5</x:f>
        <x:v>2058</x:v>
      </x:c>
      <x:c r="E6" s="13" t="str">
        <x:v>Inputs</x:v>
      </x:c>
    </x:row>
    <x:row r="7">
      <x:c r="A7" s="13" t="str">
        <x:v>Average speed</x:v>
      </x:c>
      <x:c r="B7" s="13" t="str">
        <x:v>km/h</x:v>
      </x:c>
      <x:c r="C7" s="36" t="n">
        <x:f>Inputs!C6</x:f>
        <x:v>63.9</x:v>
      </x:c>
      <x:c r="D7" s="36" t="n">
        <x:f>Inputs!D6</x:f>
        <x:v>62.5</x:v>
      </x:c>
      <x:c r="E7" s="13" t="str">
        <x:v>Inputs</x:v>
      </x:c>
    </x:row>
    <x:row r="8">
      <x:c r="A8" s="13" t="str">
        <x:v>Loaded ratio</x:v>
      </x:c>
      <x:c r="B8" s="13" t="str">
        <x:v>% loaded km</x:v>
      </x:c>
      <x:c r="C8" s="42" t="n">
        <x:f>Inputs!C7</x:f>
        <x:v>0.853</x:v>
      </x:c>
      <x:c r="D8" s="42" t="n">
        <x:f>Inputs!D7</x:f>
        <x:v>0.805</x:v>
      </x:c>
      <x:c r="E8" s="13" t="str">
        <x:v>Inputs</x:v>
      </x:c>
    </x:row>
    <x:row r="9">
      <x:c r="A9" s="13" t="str">
        <x:v>Capacity utilisation</x:v>
      </x:c>
      <x:c r="B9" s="13" t="str">
        <x:v>% capacity</x:v>
      </x:c>
      <x:c r="C9" s="42" t="n">
        <x:f>Inputs!C8</x:f>
        <x:v>0.868</x:v>
      </x:c>
      <x:c r="D9" s="42" t="n">
        <x:f>Inputs!D8</x:f>
        <x:v>0.939</x:v>
      </x:c>
      <x:c r="E9" s="13" t="str">
        <x:v>Diagnostic</x:v>
      </x:c>
    </x:row>
    <x:row r="10">
      <x:c r="A10" s="13" t="str">
        <x:v>Waiting/loading/unloading time</x:v>
      </x:c>
      <x:c r="B10" s="13" t="str">
        <x:v>hours/day</x:v>
      </x:c>
      <x:c r="C10" s="36" t="n">
        <x:f>Inputs!C9</x:f>
        <x:v>3.3833333333</x:v>
      </x:c>
      <x:c r="D10" s="36" t="n">
        <x:f>Inputs!D9</x:f>
        <x:v>3.4</x:v>
      </x:c>
      <x:c r="E10" s="13" t="str">
        <x:v>Inputs</x:v>
      </x:c>
    </x:row>
    <x:row r="11">
      <x:c r="A11" s="13" t="str">
        <x:v>Fuel consumption</x:v>
      </x:c>
      <x:c r="B11" s="13" t="str">
        <x:v>L/100km</x:v>
      </x:c>
      <x:c r="C11" s="36" t="n">
        <x:f>Inputs!C10</x:f>
        <x:v>34.2</x:v>
      </x:c>
      <x:c r="D11" s="36" t="n">
        <x:f>Inputs!D10</x:f>
        <x:v>33.8</x:v>
      </x:c>
      <x:c r="E11" s="13" t="str">
        <x:v>Inputs</x:v>
      </x:c>
    </x:row>
    <x:row r="12">
      <x:c r="A12" s="13" t="str">
        <x:v>Fuel price excl. VAT</x:v>
      </x:c>
      <x:c r="B12" s="13" t="str">
        <x:v>EUR/L</x:v>
      </x:c>
      <x:c r="C12" s="36" t="n">
        <x:f>Inputs!C11</x:f>
        <x:v>1.265524625</x:v>
      </x:c>
      <x:c r="D12" s="36" t="n">
        <x:f>Inputs!D11</x:f>
        <x:v>1.265524625</x:v>
      </x:c>
      <x:c r="E12" s="13" t="str">
        <x:v>Inputs</x:v>
      </x:c>
    </x:row>
    <x:row r="13">
      <x:c r="A13" s="13" t="str">
        <x:v>Tyres annual cost</x:v>
      </x:c>
      <x:c r="B13" s="13" t="str">
        <x:v>EUR/year</x:v>
      </x:c>
      <x:c r="C13" s="36" t="n">
        <x:f>Inputs!C12</x:f>
        <x:v>3098</x:v>
      </x:c>
      <x:c r="D13" s="36" t="n">
        <x:f>Inputs!D12</x:f>
        <x:v>3101</x:v>
      </x:c>
      <x:c r="E13" s="13" t="str">
        <x:v>Inputs</x:v>
      </x:c>
    </x:row>
    <x:row r="14">
      <x:c r="A14" s="13" t="str">
        <x:v>Maintenance annual cost</x:v>
      </x:c>
      <x:c r="B14" s="13" t="str">
        <x:v>EUR/year</x:v>
      </x:c>
      <x:c r="C14" s="36" t="n">
        <x:f>Inputs!C13</x:f>
        <x:v>8221</x:v>
      </x:c>
      <x:c r="D14" s="36" t="n">
        <x:f>Inputs!D13</x:f>
        <x:v>7278</x:v>
      </x:c>
      <x:c r="E14" s="13" t="str">
        <x:v>Inputs</x:v>
      </x:c>
    </x:row>
    <x:row r="15">
      <x:c r="A15" s="13" t="str">
        <x:v>Road fees annual cost</x:v>
      </x:c>
      <x:c r="B15" s="13" t="str">
        <x:v>EUR/year</x:v>
      </x:c>
      <x:c r="C15" s="36" t="n">
        <x:f>Inputs!C14</x:f>
        <x:v>8090</x:v>
      </x:c>
      <x:c r="D15" s="36" t="n">
        <x:f>Inputs!D14</x:f>
        <x:v>5805</x:v>
      </x:c>
      <x:c r="E15" s="13" t="str">
        <x:v>Inputs</x:v>
      </x:c>
    </x:row>
    <x:row r="16">
      <x:c r="A16" s="13" t="str">
        <x:v>Tractor ownership annual cost</x:v>
      </x:c>
      <x:c r="B16" s="13" t="str">
        <x:v>EUR/year</x:v>
      </x:c>
      <x:c r="C16" s="36" t="n">
        <x:f>Inputs!C15</x:f>
        <x:v>10793</x:v>
      </x:c>
      <x:c r="D16" s="36" t="n">
        <x:f>Inputs!D15</x:f>
        <x:v>10934</x:v>
      </x:c>
      <x:c r="E16" s="13" t="str">
        <x:v>Inputs</x:v>
      </x:c>
    </x:row>
    <x:row r="17">
      <x:c r="A17" s="13" t="str">
        <x:v>Trailer ownership annual cost</x:v>
      </x:c>
      <x:c r="B17" s="13" t="str">
        <x:v>EUR/year</x:v>
      </x:c>
      <x:c r="C17" s="36" t="n">
        <x:f>Inputs!C16</x:f>
        <x:v>3208</x:v>
      </x:c>
      <x:c r="D17" s="36" t="n">
        <x:f>Inputs!D16</x:f>
        <x:v>3551</x:v>
      </x:c>
      <x:c r="E17" s="13" t="str">
        <x:v>Inputs</x:v>
      </x:c>
    </x:row>
    <x:row r="18">
      <x:c r="A18" s="13" t="str">
        <x:v>Vehicle insurance annual</x:v>
      </x:c>
      <x:c r="B18" s="13" t="str">
        <x:v>EUR/year</x:v>
      </x:c>
      <x:c r="C18" s="36" t="n">
        <x:f>Inputs!C17</x:f>
        <x:v>2198</x:v>
      </x:c>
      <x:c r="D18" s="36" t="n">
        <x:f>Inputs!D17</x:f>
        <x:v>2598</x:v>
      </x:c>
      <x:c r="E18" s="13" t="str">
        <x:v>Inputs</x:v>
      </x:c>
    </x:row>
    <x:row r="19">
      <x:c r="A19" s="13" t="str">
        <x:v>Cargo insurance annual</x:v>
      </x:c>
      <x:c r="B19" s="13" t="str">
        <x:v>EUR/year</x:v>
      </x:c>
      <x:c r="C19" s="36" t="n">
        <x:f>Inputs!C18</x:f>
        <x:v>477</x:v>
      </x:c>
      <x:c r="D19" s="36" t="n">
        <x:f>Inputs!D18</x:f>
        <x:v>411</x:v>
      </x:c>
      <x:c r="E19" s="13" t="str">
        <x:v>Inputs</x:v>
      </x:c>
    </x:row>
    <x:row r="20">
      <x:c r="A20" s="13" t="str">
        <x:v>Vehicle taxes annual</x:v>
      </x:c>
      <x:c r="B20" s="13" t="str">
        <x:v>EUR/year</x:v>
      </x:c>
      <x:c r="C20" s="36" t="n">
        <x:f>Inputs!C19</x:f>
        <x:v>561</x:v>
      </x:c>
      <x:c r="D20" s="36" t="n">
        <x:f>Inputs!D19</x:f>
        <x:v>577</x:v>
      </x:c>
      <x:c r="E20" s="13" t="str">
        <x:v>Inputs</x:v>
      </x:c>
    </x:row>
    <x:row r="21">
      <x:c r="A21" s="13" t="str">
        <x:v>Monthly driver salary</x:v>
      </x:c>
      <x:c r="B21" s="13" t="str">
        <x:v>EUR/month</x:v>
      </x:c>
      <x:c r="C21" s="36" t="n">
        <x:f>Inputs!C20</x:f>
        <x:v>2348.72</x:v>
      </x:c>
      <x:c r="D21" s="36" t="n">
        <x:f>Inputs!D20</x:f>
        <x:v>2182.15</x:v>
      </x:c>
      <x:c r="E21" s="13" t="str">
        <x:v>Inputs</x:v>
      </x:c>
    </x:row>
    <x:row r="22">
      <x:c r="A22" s="13" t="str">
        <x:v>Employer tax rate on salary</x:v>
      </x:c>
      <x:c r="B22" s="13" t="str">
        <x:v>%</x:v>
      </x:c>
      <x:c r="C22" s="42" t="n">
        <x:f>Inputs!C21</x:f>
        <x:v>0.4759</x:v>
      </x:c>
      <x:c r="D22" s="42" t="n">
        <x:f>Inputs!D21</x:f>
        <x:v>0.4706</x:v>
      </x:c>
      <x:c r="E22" s="13" t="str">
        <x:v>Inputs</x:v>
      </x:c>
    </x:row>
    <x:row r="23">
      <x:c r="A23" s="13" t="str">
        <x:v>Travel allowance per working day</x:v>
      </x:c>
      <x:c r="B23" s="13" t="str">
        <x:v>EUR/day</x:v>
      </x:c>
      <x:c r="C23" s="36" t="n">
        <x:f>Inputs!C22</x:f>
        <x:v>38.36</x:v>
      </x:c>
      <x:c r="D23" s="36" t="n">
        <x:f>Inputs!D22</x:f>
        <x:v>16.53</x:v>
      </x:c>
      <x:c r="E23" s="13" t="str">
        <x:v>Inputs</x:v>
      </x:c>
    </x:row>
    <x:row r="24">
      <x:c r="A24" s="13" t="str">
        <x:v>Drivers per vehicle</x:v>
      </x:c>
      <x:c r="B24" s="13" t="str">
        <x:v>count</x:v>
      </x:c>
      <x:c r="C24" s="36" t="n">
        <x:f>Inputs!C23</x:f>
        <x:v>1.064</x:v>
      </x:c>
      <x:c r="D24" s="36" t="n">
        <x:f>Inputs!D23</x:f>
        <x:v>1.085</x:v>
      </x:c>
      <x:c r="E24" s="13" t="str">
        <x:v>Inputs</x:v>
      </x:c>
    </x:row>
    <x:row r="25">
      <x:c r="A25" s="13" t="str">
        <x:v>Structural overhead annual</x:v>
      </x:c>
      <x:c r="B25" s="13" t="str">
        <x:v>EUR/year</x:v>
      </x:c>
      <x:c r="C25" s="36" t="n">
        <x:f>Inputs!C24</x:f>
        <x:v>17886</x:v>
      </x:c>
      <x:c r="D25" s="36" t="n">
        <x:f>Inputs!D24</x:f>
        <x:v>17820</x:v>
      </x:c>
      <x:c r="E25" s="13" t="str">
        <x:v>Inputs</x:v>
      </x:c>
    </x:row>
    <x:row r="26">
      <x:c r="A26" s="13" t="str">
        <x:v>Commercial/admin overhead annual cost</x:v>
      </x:c>
      <x:c r="B26" s="13" t="str">
        <x:v>EUR/year</x:v>
      </x:c>
      <x:c r="C26" s="36" t="n">
        <x:f>Inputs!C25</x:f>
        <x:v>0</x:v>
      </x:c>
      <x:c r="D26" s="36" t="n">
        <x:f>Inputs!D25</x:f>
        <x:v>0</x:v>
      </x:c>
      <x:c r="E26" s="13" t="str">
        <x:v>Inputs</x:v>
      </x:c>
    </x:row>
    <x:row r="27">
      <x:c r="A27" s="13" t="str">
        <x:v>Target EBIT margin</x:v>
      </x:c>
      <x:c r="B27" s="13" t="str">
        <x:v>% revenue</x:v>
      </x:c>
      <x:c r="C27" s="42" t="n">
        <x:f>Inputs!C26</x:f>
        <x:v>0.1</x:v>
      </x:c>
      <x:c r="D27" s="42" t="n">
        <x:f>Inputs!D26</x:f>
        <x:v>0.1</x:v>
      </x:c>
      <x:c r="E27" s="13" t="str">
        <x:v>Inputs</x:v>
      </x:c>
    </x:row>
    <x:row r="28">
      <x:c r="A28" s="210" t="str">
        <x:v>Selected customer rate per loaded km</x:v>
      </x:c>
      <x:c r="B28" s="210" t="str">
        <x:v>EUR/loaded km</x:v>
      </x:c>
      <x:c r="C28" s="212" t="n">
        <x:f>'Pricing Scenarios'!C18</x:f>
        <x:v>1.8252723167163443</x:v>
      </x:c>
      <x:c r="D28" s="212" t="n">
        <x:f>'Pricing Scenarios'!D18</x:f>
        <x:v>1.9911058002736406</x:v>
      </x:c>
      <x:c r="E28" s="210" t="str">
        <x:v>Calculated in Pricing Scenarios after break-even price</x:v>
      </x:c>
    </x:row>
    <x:row r="29">
      <x:c r="A29" s="13" t="str"/>
      <x:c r="B29" s="13" t="str"/>
      <x:c r="C29" s="36" t="str"/>
      <x:c r="D29" s="36" t="str"/>
      <x:c r="E29" s="13" t="str"/>
    </x:row>
    <x:row r="30">
      <x:c r="A30" s="14" t="str">
        <x:v>Operational outputs</x:v>
      </x:c>
      <x:c r="B30" s="14" t="str"/>
      <x:c r="C30" s="37" t="str"/>
      <x:c r="D30" s="37" t="str"/>
      <x:c r="E30" s="14" t="str"/>
    </x:row>
    <x:row r="31">
      <x:c r="A31" s="13" t="str">
        <x:v>Loaded revenue km</x:v>
      </x:c>
      <x:c r="B31" s="13" t="str">
        <x:v>km/year</x:v>
      </x:c>
      <x:c r="C31" s="36" t="n">
        <x:f>IFERROR(C3*C8,0)</x:f>
        <x:v>96474.3</x:v>
      </x:c>
      <x:c r="D31" s="36" t="n">
        <x:f>IFERROR(D3*D8,0)</x:f>
        <x:v>78890</x:v>
      </x:c>
      <x:c r="E31" s="13" t="str">
        <x:v>Annual total km × loaded ratio</x:v>
      </x:c>
    </x:row>
    <x:row r="32">
      <x:c r="A32" s="13" t="str">
        <x:v>Empty/non-revenue km</x:v>
      </x:c>
      <x:c r="B32" s="13" t="str">
        <x:v>km/year</x:v>
      </x:c>
      <x:c r="C32" s="36" t="n">
        <x:f>IFERROR(C3-C31,0)</x:f>
        <x:v>16625.699999999997</x:v>
      </x:c>
      <x:c r="D32" s="36" t="n">
        <x:f>IFERROR(D3-D31,0)</x:f>
        <x:v>19110</x:v>
      </x:c>
      <x:c r="E32" s="13" t="str">
        <x:v>Annual total km - loaded km</x:v>
      </x:c>
    </x:row>
    <x:row r="33">
      <x:c r="A33" s="13" t="str">
        <x:v>Driving hours</x:v>
      </x:c>
      <x:c r="B33" s="13" t="str">
        <x:v>hours/year</x:v>
      </x:c>
      <x:c r="C33" s="36" t="n">
        <x:f>IFERROR(C3/C7,0)</x:f>
        <x:v>1769.9530516431926</x:v>
      </x:c>
      <x:c r="D33" s="36" t="n">
        <x:f>IFERROR(D3/D7,0)</x:f>
        <x:v>1568</x:v>
      </x:c>
      <x:c r="E33" s="13" t="str">
        <x:v>Annual total km / average speed</x:v>
      </x:c>
    </x:row>
    <x:row r="34">
      <x:c r="A34" s="13" t="str">
        <x:v>Waiting/loading/unloading hours</x:v>
      </x:c>
      <x:c r="B34" s="13" t="str">
        <x:v>hours/year</x:v>
      </x:c>
      <x:c r="C34" s="36" t="n">
        <x:f>IFERROR(C4*C10,0)</x:f>
        <x:v>772.7533333257201</x:v>
      </x:c>
      <x:c r="D34" s="36" t="n">
        <x:f>IFERROR(D4*D10,0)</x:f>
        <x:v>790.5</x:v>
      </x:c>
      <x:c r="E34" s="13" t="str">
        <x:v>Operating days × waiting time/day</x:v>
      </x:c>
    </x:row>
    <x:row r="35">
      <x:c r="A35" s="13" t="str">
        <x:v>Total activity hours</x:v>
      </x:c>
      <x:c r="B35" s="13" t="str">
        <x:v>hours/year</x:v>
      </x:c>
      <x:c r="C35" s="36" t="n">
        <x:f>IFERROR(C33+C34,0)</x:f>
        <x:v>2542.7063849689125</x:v>
      </x:c>
      <x:c r="D35" s="36" t="n">
        <x:f>IFERROR(D33+D34,0)</x:f>
        <x:v>2358.5</x:v>
      </x:c>
      <x:c r="E35" s="13" t="str">
        <x:v>Driving hours + waiting/loading/unloading hours</x:v>
      </x:c>
    </x:row>
    <x:row r="36">
      <x:c r="A36" s="13" t="str"/>
      <x:c r="B36" s="13" t="str"/>
      <x:c r="C36" s="36" t="str"/>
      <x:c r="D36" s="36" t="str"/>
      <x:c r="E36" s="13" t="str"/>
    </x:row>
    <x:row r="37">
      <x:c r="A37" s="14" t="str">
        <x:v>Variable cost block</x:v>
      </x:c>
      <x:c r="B37" s="14" t="str"/>
      <x:c r="C37" s="37" t="str"/>
      <x:c r="D37" s="37" t="str"/>
      <x:c r="E37" s="14" t="str"/>
    </x:row>
    <x:row r="38">
      <x:c r="A38" s="13" t="str">
        <x:v>Fuel cost</x:v>
      </x:c>
      <x:c r="B38" s="13" t="str">
        <x:v>EUR/total km</x:v>
      </x:c>
      <x:c r="C38" s="46" t="n">
        <x:f>IFERROR(C11/100*C12,0)</x:f>
        <x:v>0.43280942175000003</x:v>
      </x:c>
      <x:c r="D38" s="46" t="n">
        <x:f>IFERROR(D11/100*D12,0)</x:f>
        <x:v>0.42774732325</x:v>
      </x:c>
      <x:c r="E38" s="13" t="str">
        <x:v>Fuel consumption / 100 × fuel price</x:v>
      </x:c>
    </x:row>
    <x:row r="39">
      <x:c r="A39" s="13" t="str">
        <x:v>Tyres cost</x:v>
      </x:c>
      <x:c r="B39" s="13" t="str">
        <x:v>EUR/total km</x:v>
      </x:c>
      <x:c r="C39" s="46" t="n">
        <x:f>IFERROR(C13/C3,0)</x:f>
        <x:v>0.027391688770999116</x:v>
      </x:c>
      <x:c r="D39" s="46" t="n">
        <x:f>IFERROR(D13/D3,0)</x:f>
        <x:v>0.031642857142857146</x:v>
      </x:c>
      <x:c r="E39" s="13" t="str">
        <x:v>Annual tyres / annual total km</x:v>
      </x:c>
    </x:row>
    <x:row r="40">
      <x:c r="A40" s="13" t="str">
        <x:v>Maintenance cost</x:v>
      </x:c>
      <x:c r="B40" s="13" t="str">
        <x:v>EUR/total km</x:v>
      </x:c>
      <x:c r="C40" s="46" t="n">
        <x:f>IFERROR(C14/C3,0)</x:f>
        <x:v>0.07268788682581787</x:v>
      </x:c>
      <x:c r="D40" s="46" t="n">
        <x:f>IFERROR(D14/D3,0)</x:f>
        <x:v>0.07426530612244898</x:v>
      </x:c>
      <x:c r="E40" s="13" t="str">
        <x:v>Annual maintenance / annual total km</x:v>
      </x:c>
    </x:row>
    <x:row r="41">
      <x:c r="A41" s="13" t="str">
        <x:v>Road fees cost</x:v>
      </x:c>
      <x:c r="B41" s="13" t="str">
        <x:v>EUR/total km</x:v>
      </x:c>
      <x:c r="C41" s="46" t="n">
        <x:f>IFERROR(C15/C3,0)</x:f>
        <x:v>0.07152961980548188</x:v>
      </x:c>
      <x:c r="D41" s="46" t="n">
        <x:f>IFERROR(D15/D3,0)</x:f>
        <x:v>0.05923469387755102</x:v>
      </x:c>
      <x:c r="E41" s="13" t="str">
        <x:v>Annual road fees / annual total km</x:v>
      </x:c>
    </x:row>
    <x:row r="42">
      <x:c r="A42" s="13" t="str">
        <x:v>Variable operating cost</x:v>
      </x:c>
      <x:c r="B42" s="13" t="str">
        <x:v>EUR/total km</x:v>
      </x:c>
      <x:c r="C42" s="46" t="n">
        <x:f>SUM(C38:C41)</x:f>
        <x:v>0.6044186171522989</x:v>
      </x:c>
      <x:c r="D42" s="46" t="n">
        <x:f>SUM(D38:D41)</x:f>
        <x:v>0.5928901803928571</x:v>
      </x:c>
      <x:c r="E42" s="13" t="str">
        <x:v>Fuel + tyres + maintenance + road fees</x:v>
      </x:c>
    </x:row>
    <x:row r="43">
      <x:c r="A43" s="13" t="str">
        <x:v>Variable operating cost</x:v>
      </x:c>
      <x:c r="B43" s="13" t="str">
        <x:v>EUR/loaded km</x:v>
      </x:c>
      <x:c r="C43" s="46" t="n">
        <x:f>IFERROR(C42/C8,0)</x:f>
        <x:v>0.7085798559815931</x:v>
      </x:c>
      <x:c r="D43" s="46" t="n">
        <x:f>IFERROR(D42/D8,0)</x:f>
        <x:v>0.736509540860692</x:v>
      </x:c>
      <x:c r="E43" s="13" t="str">
        <x:v>Variable cost per total km / loaded ratio</x:v>
      </x:c>
    </x:row>
    <x:row r="44">
      <x:c r="A44" s="13" t="str">
        <x:v>Annual variable operating cost</x:v>
      </x:c>
      <x:c r="B44" s="13" t="str">
        <x:v>EUR/year</x:v>
      </x:c>
      <x:c r="C44" s="36" t="n">
        <x:f>IFERROR(C42*C3,0)</x:f>
        <x:v>68359.74559992501</x:v>
      </x:c>
      <x:c r="D44" s="36" t="n">
        <x:f>IFERROR(D42*D3,0)</x:f>
        <x:v>58103.2376785</x:v>
      </x:c>
      <x:c r="E44" s="13" t="str">
        <x:v>Variable cost per total km × annual total km</x:v>
      </x:c>
    </x:row>
    <x:row r="45">
      <x:c r="A45" s="13" t="str"/>
      <x:c r="B45" s="13" t="str"/>
      <x:c r="C45" s="36" t="str"/>
      <x:c r="D45" s="36" t="str"/>
      <x:c r="E45" s="13" t="str"/>
    </x:row>
    <x:row r="46">
      <x:c r="A46" s="14" t="str">
        <x:v>Driver cost block</x:v>
      </x:c>
      <x:c r="B46" s="14" t="str"/>
      <x:c r="C46" s="37" t="str"/>
      <x:c r="D46" s="37" t="str"/>
      <x:c r="E46" s="14" t="str"/>
    </x:row>
    <x:row r="47">
      <x:c r="A47" s="13" t="str">
        <x:v>Salary incl. employer taxes</x:v>
      </x:c>
      <x:c r="B47" s="13" t="str">
        <x:v>EUR/year</x:v>
      </x:c>
      <x:c r="C47" s="36" t="n">
        <x:f>IFERROR(C21*12*C24*(1+C22),0)</x:f>
        <x:v>44259.963627264</x:v>
      </x:c>
      <x:c r="D47" s="36" t="n">
        <x:f>IFERROR(D21*12*D24*(1+D22),0)</x:f>
        <x:v>41782.0886658</x:v>
      </x:c>
      <x:c r="E47" s="13" t="str">
        <x:v>Monthly salary × 12 × drivers × (1 + tax rate)</x:v>
      </x:c>
    </x:row>
    <x:row r="48">
      <x:c r="A48" s="13" t="str">
        <x:v>Travel allowance</x:v>
      </x:c>
      <x:c r="B48" s="13" t="str">
        <x:v>EUR/year</x:v>
      </x:c>
      <x:c r="C48" s="36" t="n">
        <x:f>IFERROR(C23*C5*C24,0)</x:f>
        <x:v>8783.396608000001</x:v>
      </x:c>
      <x:c r="D48" s="36" t="n">
        <x:f>IFERROR(D23*D5*D24,0)</x:f>
        <x:v>3848.86173</x:v>
      </x:c>
      <x:c r="E48" s="13" t="str">
        <x:v>Allowance/day × working days × drivers</x:v>
      </x:c>
    </x:row>
    <x:row r="49">
      <x:c r="A49" s="13" t="str">
        <x:v>Total driver cost</x:v>
      </x:c>
      <x:c r="B49" s="13" t="str">
        <x:v>EUR/year</x:v>
      </x:c>
      <x:c r="C49" s="36" t="n">
        <x:f>SUM(C47:C48)</x:f>
        <x:v>53043.360235264</x:v>
      </x:c>
      <x:c r="D49" s="36" t="n">
        <x:f>SUM(D47:D48)</x:f>
        <x:v>45630.9503958</x:v>
      </x:c>
      <x:c r="E49" s="13" t="str">
        <x:v>Salary incl. taxes + allowance</x:v>
      </x:c>
    </x:row>
    <x:row r="50">
      <x:c r="A50" s="13" t="str">
        <x:v>Driver cost per activity hour</x:v>
      </x:c>
      <x:c r="B50" s="13" t="str">
        <x:v>EUR/hour</x:v>
      </x:c>
      <x:c r="C50" s="46" t="n">
        <x:f>IFERROR(C49/C35,0)</x:f>
        <x:v>20.860985188391115</x:v>
      </x:c>
      <x:c r="D50" s="46" t="n">
        <x:f>IFERROR(D49/D35,0)</x:f>
        <x:v>19.347445578036886</x:v>
      </x:c>
      <x:c r="E50" s="13" t="str">
        <x:v>Total driver cost / activity hours</x:v>
      </x:c>
    </x:row>
    <x:row r="51">
      <x:c r="A51" s="13" t="str">
        <x:v>Driver cost per loaded km</x:v>
      </x:c>
      <x:c r="B51" s="13" t="str">
        <x:v>EUR/loaded km</x:v>
      </x:c>
      <x:c r="C51" s="46" t="n">
        <x:f>IFERROR(C49/C31,0)</x:f>
        <x:v>0.5498185551516207</x:v>
      </x:c>
      <x:c r="D51" s="46" t="n">
        <x:f>IFERROR(D49/D31,0)</x:f>
        <x:v>0.578412351322094</x:v>
      </x:c>
      <x:c r="E51" s="13" t="str">
        <x:v>Total driver cost / loaded km</x:v>
      </x:c>
    </x:row>
    <x:row r="52">
      <x:c r="A52" s="13" t="str"/>
      <x:c r="B52" s="13" t="str"/>
      <x:c r="C52" s="36" t="str"/>
      <x:c r="D52" s="36" t="str"/>
      <x:c r="E52" s="13" t="str"/>
    </x:row>
    <x:row r="53">
      <x:c r="A53" s="14" t="str">
        <x:v>Fixed cost block</x:v>
      </x:c>
      <x:c r="B53" s="14" t="str"/>
      <x:c r="C53" s="37" t="str"/>
      <x:c r="D53" s="37" t="str"/>
      <x:c r="E53" s="14" t="str"/>
    </x:row>
    <x:row r="54">
      <x:c r="A54" s="13" t="str">
        <x:v>Vehicle fixed cost</x:v>
      </x:c>
      <x:c r="B54" s="13" t="str">
        <x:v>EUR/year</x:v>
      </x:c>
      <x:c r="C54" s="36" t="n">
        <x:f>SUM(C16:C20)</x:f>
        <x:v>17237</x:v>
      </x:c>
      <x:c r="D54" s="36" t="n">
        <x:f>SUM(D16:D20)</x:f>
        <x:v>18071</x:v>
      </x:c>
      <x:c r="E54" s="13" t="str">
        <x:v>Tractor + trailer + insurance + taxes</x:v>
      </x:c>
    </x:row>
    <x:row r="55">
      <x:c r="A55" s="13" t="str">
        <x:v>Structural/admin fixed cost</x:v>
      </x:c>
      <x:c r="B55" s="13" t="str">
        <x:v>EUR/year</x:v>
      </x:c>
      <x:c r="C55" s="36" t="n">
        <x:f>SUM(C25:C26)</x:f>
        <x:v>17886</x:v>
      </x:c>
      <x:c r="D55" s="36" t="n">
        <x:f>SUM(D25:D26)</x:f>
        <x:v>17820</x:v>
      </x:c>
      <x:c r="E55" s="13" t="str">
        <x:v>Structural overhead + commercial/admin overhead</x:v>
      </x:c>
    </x:row>
    <x:row r="56">
      <x:c r="A56" s="13" t="str">
        <x:v>Fixed cost before driver</x:v>
      </x:c>
      <x:c r="B56" s="13" t="str">
        <x:v>EUR/year</x:v>
      </x:c>
      <x:c r="C56" s="36" t="n">
        <x:f>SUM(C54:C55)</x:f>
        <x:v>35123</x:v>
      </x:c>
      <x:c r="D56" s="36" t="n">
        <x:f>SUM(D54:D55)</x:f>
        <x:v>35891</x:v>
      </x:c>
      <x:c r="E56" s="13" t="str">
        <x:v>Vehicle fixed + structural/admin fixed</x:v>
      </x:c>
    </x:row>
    <x:row r="57">
      <x:c r="A57" s="13" t="str">
        <x:v>Fixed cost including driver</x:v>
      </x:c>
      <x:c r="B57" s="13" t="str">
        <x:v>EUR/year</x:v>
      </x:c>
      <x:c r="C57" s="36" t="n">
        <x:f>SUM(C49,C56)</x:f>
        <x:v>88166.360235264</x:v>
      </x:c>
      <x:c r="D57" s="36" t="n">
        <x:f>SUM(D49,D56)</x:f>
        <x:v>81521.9503958</x:v>
      </x:c>
      <x:c r="E57" s="13" t="str">
        <x:v>Fixed before driver + driver cost</x:v>
      </x:c>
    </x:row>
    <x:row r="58">
      <x:c r="A58" s="13" t="str"/>
      <x:c r="B58" s="13" t="str"/>
      <x:c r="C58" s="36" t="str"/>
      <x:c r="D58" s="36" t="str"/>
      <x:c r="E58" s="13" t="str"/>
    </x:row>
    <x:row r="59">
      <x:c r="A59" s="14" t="str">
        <x:v>Break-even outputs</x:v>
      </x:c>
      <x:c r="B59" s="14" t="str"/>
      <x:c r="C59" s="37" t="str"/>
      <x:c r="D59" s="37" t="str"/>
      <x:c r="E59" s="14" t="str"/>
    </x:row>
    <x:row r="60">
      <x:c r="A60" s="34" t="str">
        <x:v>Total annual cost</x:v>
      </x:c>
      <x:c r="B60" s="34" t="str">
        <x:v>EUR/year</x:v>
      </x:c>
      <x:c r="C60" s="38" t="n">
        <x:f>SUM(C44,C57)</x:f>
        <x:v>156526.105835189</x:v>
      </x:c>
      <x:c r="D60" s="38" t="n">
        <x:f>SUM(D44,D57)</x:f>
        <x:v>139625.1880743</x:v>
      </x:c>
      <x:c r="E60" s="34" t="str">
        <x:v>Variable cost + fixed cost including driver</x:v>
      </x:c>
    </x:row>
    <x:row r="61">
      <x:c r="A61" s="34" t="str">
        <x:v>Cost per total km</x:v>
      </x:c>
      <x:c r="B61" s="34" t="str">
        <x:v>EUR/total km</x:v>
      </x:c>
      <x:c r="C61" s="48" t="n">
        <x:f>IFERROR(C60/C3,0)</x:f>
        <x:v>1.3839620321413704</x:v>
      </x:c>
      <x:c r="D61" s="48" t="n">
        <x:f>IFERROR(D60/D3,0)</x:f>
        <x:v>1.424746817084694</x:v>
      </x:c>
      <x:c r="E61" s="34" t="str">
        <x:v>Total annual cost / annual total km</x:v>
      </x:c>
    </x:row>
    <x:row r="62">
      <x:c r="A62" s="34" t="str">
        <x:v>Break-even price</x:v>
      </x:c>
      <x:c r="B62" s="34" t="str">
        <x:v>EUR/loaded km</x:v>
      </x:c>
      <x:c r="C62" s="48" t="n">
        <x:f>IFERROR(C60/C31,0)</x:f>
        <x:v>1.6224642815256394</x:v>
      </x:c>
      <x:c r="D62" s="48" t="n">
        <x:f>IFERROR(D60/D31,0)</x:f>
        <x:v>1.7698718224654584</x:v>
      </x:c>
      <x:c r="E62" s="34" t="str">
        <x:v>Total annual cost / loaded km</x:v>
      </x:c>
    </x:row>
    <x:row r="63">
      <x:c r="A63" s="34" t="str">
        <x:v>Required price for target EBIT margin</x:v>
      </x:c>
      <x:c r="B63" s="34" t="str">
        <x:v>EUR/loaded km</x:v>
      </x:c>
      <x:c r="C63" s="48" t="n">
        <x:f>IFERROR(C62/(1-C27),0)</x:f>
        <x:v>1.8027380905840438</x:v>
      </x:c>
      <x:c r="D63" s="48" t="n">
        <x:f>IFERROR(D62/(1-D27),0)</x:f>
        <x:v>1.9665242471838427</x:v>
      </x:c>
      <x:c r="E63" s="34" t="str">
        <x:v>Break-even price / (1 - target margin)</x:v>
      </x:c>
    </x:row>
    <x:row r="64">
      <x:c r="A64" s="34" t="str">
        <x:v>Annual revenue at selected rate</x:v>
      </x:c>
      <x:c r="B64" s="34" t="str">
        <x:v>EUR/year</x:v>
      </x:c>
      <x:c r="C64" s="213" t="n">
        <x:f>IFERROR(C28*C31,0)</x:f>
        <x:v>176091.8690645876</x:v>
      </x:c>
      <x:c r="D64" s="213" t="n">
        <x:f>IFERROR(D28*D31,0)</x:f>
        <x:v>157078.33658358752</x:v>
      </x:c>
      <x:c r="E64" s="34" t="str">
        <x:v>Selected customer rate × loaded revenue km</x:v>
      </x:c>
    </x:row>
    <x:row r="65">
      <x:c r="A65" s="34" t="str">
        <x:v>EBIT at selected rate</x:v>
      </x:c>
      <x:c r="B65" s="34" t="str">
        <x:v>EUR/year</x:v>
      </x:c>
      <x:c r="C65" s="213" t="n">
        <x:f>C64-C60</x:f>
        <x:v>19565.76322939861</x:v>
      </x:c>
      <x:c r="D65" s="213" t="n">
        <x:f>D64-D60</x:f>
        <x:v>17453.14850928751</x:v>
      </x:c>
      <x:c r="E65" s="34" t="str">
        <x:v>Revenue - total annual cost</x:v>
      </x:c>
    </x:row>
    <x:row r="66">
      <x:c r="A66" s="34" t="str">
        <x:v>EBIT margin at selected rate</x:v>
      </x:c>
      <x:c r="B66" s="34" t="str">
        <x:v>% revenue</x:v>
      </x:c>
      <x:c r="C66" s="44" t="n">
        <x:f>IFERROR(C65/C64,0)</x:f>
        <x:v>0.11111111111111104</x:v>
      </x:c>
      <x:c r="D66" s="44" t="n">
        <x:f>IFERROR(D65/D64,0)</x:f>
        <x:v>0.11111111111111115</x:v>
      </x:c>
      <x:c r="E66" s="34" t="str">
        <x:v>EBIT / revenue</x:v>
      </x:c>
    </x:row>
    <x:row r="67">
      <x:c r="A67" s="34" t="str">
        <x:v>Break-even loaded km at selected rate</x:v>
      </x:c>
      <x:c r="B67" s="34" t="str">
        <x:v>km/year</x:v>
      </x:c>
      <x:c r="C67" s="213" t="n">
        <x:f>IFERROR(IF(C28&lt;=C43,"Rate below variable cost",C57/(C28-C43)),0)</x:f>
        <x:v>78953.12571310197</x:v>
      </x:c>
      <x:c r="D67" s="213" t="n">
        <x:f>IFERROR(IF(D28&lt;=D43,"Rate below variable cost",D57/(D28-D43)),0)</x:f>
        <x:v>64978.633392343916</x:v>
      </x:c>
      <x:c r="E67" s="34" t="str">
        <x:v>Fixed cost / (selected rate - variable loaded-km cost)</x:v>
      </x:c>
    </x:row>
    <x:row r="68">
      <x:c r="A68" s="34" t="str">
        <x:v>Break-even total km at selected rate</x:v>
      </x:c>
      <x:c r="B68" s="34" t="str">
        <x:v>km/year</x:v>
      </x:c>
      <x:c r="C68" s="213" t="n">
        <x:f>IFERROR(IF(ISNUMBER(C67),C67/C8,""),"")</x:f>
        <x:v>92559.35019120981</x:v>
      </x:c>
      <x:c r="D68" s="213" t="n">
        <x:f>IFERROR(IF(ISNUMBER(D67),D67/D8,""),"")</x:f>
        <x:v>80718.79924514772</x:v>
      </x:c>
      <x:c r="E68" s="34" t="str">
        <x:v>Break-even loaded km / loaded ratio</x:v>
      </x:c>
    </x:row>
    <x:row r="69">
      <x:c r="A69" s="34" t="str">
        <x:v>Break-even utilisation of planned loaded km</x:v>
      </x:c>
      <x:c r="B69" s="34" t="str">
        <x:v>%</x:v>
      </x:c>
      <x:c r="C69" s="213" t="n">
        <x:f>IFERROR(IF(ISNUMBER(C67),C67/C31,""),"")</x:f>
        <x:v>0.8183850591618904</x:v>
      </x:c>
      <x:c r="D69" s="213" t="n">
        <x:f>IFERROR(IF(ISNUMBER(D67),D67/D31,""),"")</x:f>
        <x:v>0.8236612167872217</x:v>
      </x:c>
      <x:c r="E69" s="34" t="str">
        <x:v>Break-even loaded km / loaded km</x:v>
      </x:c>
    </x:row>
    <x:row r="70">
      <x:c r="A70" s="34" t="str">
        <x:v>Required loaded ratio at planned total km</x:v>
      </x:c>
      <x:c r="B70" s="34" t="str">
        <x:v>%</x:v>
      </x:c>
      <x:c r="C70" s="213" t="n">
        <x:f>IFERROR(C60/(C28*C3),0)</x:f>
        <x:v>0.7582222222222222</x:v>
      </x:c>
      <x:c r="D70" s="213" t="n">
        <x:f>IFERROR(D60/(D28*D3),0)</x:f>
        <x:v>0.7155555555555556</x:v>
      </x:c>
      <x:c r="E70" s="34" t="str">
        <x:v>Total cost / (selected rate × total km)</x:v>
      </x:c>
    </x:row>
    <x:row r="71">
      <x:c r="A71" s="34" t="str">
        <x:v>Loaded-km safety margin</x:v>
      </x:c>
      <x:c r="B71" s="34" t="str">
        <x:v>km/year</x:v>
      </x:c>
      <x:c r="C71" s="213" t="n">
        <x:f>IFERROR(IF(ISNUMBER(C67),C31-C67,""),"")</x:f>
        <x:v>17521.174286898036</x:v>
      </x:c>
      <x:c r="D71" s="213" t="n">
        <x:f>IFERROR(IF(ISNUMBER(D67),D31-D67,""),"")</x:f>
        <x:v>13911.366607656084</x:v>
      </x:c>
      <x:c r="E71" s="34" t="str">
        <x:v>Loaded km - break-even loaded km</x:v>
      </x:c>
    </x:row>
    <x:row r="72">
      <x:c r="A72" s="34" t="str">
        <x:v>Safety margin</x:v>
      </x:c>
      <x:c r="B72" s="34" t="str">
        <x:v>%</x:v>
      </x:c>
      <x:c r="C72" s="44" t="n">
        <x:f>IFERROR(IF(ISNUMBER(C71),C71/C31,""),"")</x:f>
        <x:v>0.18161494083810958</x:v>
      </x:c>
      <x:c r="D72" s="44" t="n">
        <x:f>IFERROR(IF(ISNUMBER(D71),D71/D31,""),"")</x:f>
        <x:v>0.17633878321277835</x:v>
      </x:c>
      <x:c r="E72" s="34" t="str">
        <x:v>Safety margin / loaded km</x:v>
      </x:c>
    </x:row>
    <x:row r="73">
      <x:c r="A73" s="34" t="str">
        <x:v>Rate variance vs break-even</x:v>
      </x:c>
      <x:c r="B73" s="34" t="str">
        <x:v>EUR/loaded km</x:v>
      </x:c>
      <x:c r="C73" s="48" t="n">
        <x:f>IFERROR(C28-C62,0)</x:f>
        <x:v>0.2028080351907049</x:v>
      </x:c>
      <x:c r="D73" s="48" t="n">
        <x:f>IFERROR(D28-D62,0)</x:f>
        <x:v>0.22123397780818221</x:v>
      </x:c>
      <x:c r="E73" s="34" t="str">
        <x:v>Selected customer rate - break-even price</x:v>
      </x:c>
    </x:row>
    <x:row r="74">
      <x:c r="A74" s="34" t="str">
        <x:v>Profit contribution</x:v>
      </x:c>
      <x:c r="B74" s="34" t="str">
        <x:v>EUR/loaded km</x:v>
      </x:c>
      <x:c r="C74" s="48" t="n">
        <x:f>IFERROR(C28-C62,0)</x:f>
        <x:v>0.2028080351907049</x:v>
      </x:c>
      <x:c r="D74" s="48" t="n">
        <x:f>IFERROR(D28-D62,0)</x:f>
        <x:v>0.22123397780818221</x:v>
      </x:c>
      <x:c r="E74" s="34" t="str">
        <x:v>Selected customer rate - break-even price</x:v>
      </x:c>
    </x:row>
    <x:row r="75">
      <x:c r="A75" s="13"/>
      <x:c r="B75" s="13"/>
      <x:c r="C75" s="13"/>
      <x:c r="D75" s="13"/>
      <x:c r="E75" s="13"/>
    </x:row>
  </x:sheetData>
  <x:pageMargins left="0.7" right="0.7" top="0.75" bottom="0.75" header="0.3" footer="0.3"/>
  <x:tableParts count="1">
    <x:tablePart xmlns:r="http://schemas.openxmlformats.org/officeDocument/2006/relationships" r:id="Rc3bf2a63202a41f1"/>
  </x:tableParts>
</x:worksheet>
</file>

<file path=xl/worksheets/sheet4.xml><?xml version="1.0" encoding="utf-8"?>
<x:worksheet xmlns:x="http://schemas.openxmlformats.org/spreadsheetml/2006/main">
  <x:sheetFormatPr defaultRowHeight="15"/>
  <x:cols>
    <x:col min="10" max="10" width="45" hidden="0" customWidth="1"/>
    <x:col min="11" max="11" width="34" hidden="0" customWidth="1"/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8" hidden="0" customWidth="1"/>
  </x:cols>
  <x:sheetData>
    <x:row r="1">
      <x:c r="A1" s="4" t="str">
        <x:v>Break-even sensitivity</x:v>
      </x:c>
      <x:c r="B1" t="str"/>
      <x:c r="C1" t="str"/>
      <x:c r="D1" t="str"/>
      <x:c r="E1" t="str"/>
      <x:c r="F1" t="str"/>
      <x:c r="G1" t="str"/>
      <x:c r="H1" t="str"/>
      <x:c r="I1" t="str"/>
      <x:c r="J1" t="str"/>
    </x:row>
    <x:row r="2">
      <x:c r="A2" t="str">
        <x:v>Selected profile</x:v>
      </x:c>
      <x:c r="B2" t="str">
        <x:v>Long Distance 40t</x:v>
      </x:c>
      <x:c r="C2" t="str"/>
      <x:c r="D2" t="str"/>
      <x:c r="E2" t="str"/>
      <x:c r="F2" t="str"/>
      <x:c r="G2" t="str"/>
      <x:c r="H2" t="str"/>
      <x:c r="I2" t="str"/>
      <x:c r="J2" s="58" t="str">
        <x:v>Selected column</x:v>
      </x:c>
      <x:c r="K2" s="58" t="n">
        <x:f>MATCH($B$2,Engine!$C$1:$D$1,0)</x:f>
        <x:v>1</x:v>
      </x:c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s="58" t="str">
        <x:v>Annual total km</x:v>
      </x:c>
      <x:c r="K3" s="58" t="n">
        <x:f>INDEX(Engine!$C$3:$D$3,1,$K$2)</x:f>
        <x:v>113100</x:v>
      </x:c>
    </x:row>
    <x:row r="4">
      <x:c r="A4" s="20" t="str">
        <x:v>Rate/load factor EBIT matrix</x:v>
      </x:c>
      <x:c r="B4" s="20" t="str"/>
      <x:c r="C4" s="20" t="str"/>
      <x:c r="D4" s="20" t="str"/>
      <x:c r="E4" s="20" t="str"/>
      <x:c r="F4" s="20" t="str"/>
      <x:c r="G4" s="20" t="str"/>
      <x:c r="H4" s="20" t="str"/>
      <x:c r="I4" t="str"/>
      <x:c r="J4" s="58" t="str">
        <x:v>Variable €/total km</x:v>
      </x:c>
      <x:c r="K4" s="58" t="n">
        <x:f>INDEX(Engine!$C$42:$D$42,1,$K$2)</x:f>
        <x:v>0.6044186171522989</x:v>
      </x:c>
    </x:row>
    <x:row r="5">
      <x:c r="A5" s="20" t="str">
        <x:v>Load factor \ Rate</x:v>
      </x:c>
      <x:c r="B5" s="52" t="n">
        <x:v>1.2</x:v>
      </x:c>
      <x:c r="C5" s="52" t="n">
        <x:v>1.4</x:v>
      </x:c>
      <x:c r="D5" s="52" t="n">
        <x:v>1.6</x:v>
      </x:c>
      <x:c r="E5" s="52" t="n">
        <x:v>1.8</x:v>
      </x:c>
      <x:c r="F5" s="52" t="n">
        <x:v>2</x:v>
      </x:c>
      <x:c r="G5" s="52" t="n">
        <x:v>2.2</x:v>
      </x:c>
      <x:c r="H5" s="52" t="n">
        <x:v>2.4</x:v>
      </x:c>
      <x:c r="I5" t="str"/>
      <x:c r="J5" s="58" t="str">
        <x:v>Fixed incl driver</x:v>
      </x:c>
      <x:c r="K5" s="58" t="n">
        <x:f>INDEX(Engine!$C$57:$D$57,1,$K$2)</x:f>
        <x:v>88166.360235264</x:v>
      </x:c>
    </x:row>
    <x:row r="6">
      <x:c r="A6" s="50" t="n">
        <x:v>0.65</x:v>
      </x:c>
      <x:c r="B6" s="54" t="n">
        <x:f>B$5*$K$3*$A6-($K$5+$K$4*$K$3)</x:f>
        <x:v>-68308.105835189</x:v>
      </x:c>
      <x:c r="C6" s="54" t="n">
        <x:f>C$5*$K$3*$A6-($K$5+$K$4*$K$3)</x:f>
        <x:v>-53605.105835188995</x:v>
      </x:c>
      <x:c r="D6" s="54" t="n">
        <x:f>D$5*$K$3*$A6-($K$5+$K$4*$K$3)</x:f>
        <x:v>-38902.105835188995</x:v>
      </x:c>
      <x:c r="E6" s="54" t="n">
        <x:f>E$5*$K$3*$A6-($K$5+$K$4*$K$3)</x:f>
        <x:v>-24199.105835188995</x:v>
      </x:c>
      <x:c r="F6" s="54" t="n">
        <x:f>F$5*$K$3*$A6-($K$5+$K$4*$K$3)</x:f>
        <x:v>-9496.105835188995</x:v>
      </x:c>
      <x:c r="G6" s="54" t="n">
        <x:f>G$5*$K$3*$A6-($K$5+$K$4*$K$3)</x:f>
        <x:v>5206.894164811034</x:v>
      </x:c>
      <x:c r="H6" s="54" t="n">
        <x:f>H$5*$K$3*$A6-($K$5+$K$4*$K$3)</x:f>
        <x:v>19909.894164811005</x:v>
      </x:c>
      <x:c r="I6" t="str"/>
      <x:c r="J6" s="58" t="str">
        <x:v>Loaded ratio</x:v>
      </x:c>
      <x:c r="K6" s="58" t="n">
        <x:f>INDEX(Engine!$C$8:$D$8,1,$K$2)</x:f>
        <x:v>0.853</x:v>
      </x:c>
    </x:row>
    <x:row r="7">
      <x:c r="A7" s="50" t="n">
        <x:v>0.7</x:v>
      </x:c>
      <x:c r="B7" s="54" t="n">
        <x:f>B$5*$K$3*$A7-($K$5+$K$4*$K$3)</x:f>
        <x:v>-61522.105835188995</x:v>
      </x:c>
      <x:c r="C7" s="54" t="n">
        <x:f>C$5*$K$3*$A7-($K$5+$K$4*$K$3)</x:f>
        <x:v>-45688.105835188995</x:v>
      </x:c>
      <x:c r="D7" s="54" t="n">
        <x:f>D$5*$K$3*$A7-($K$5+$K$4*$K$3)</x:f>
        <x:v>-29854.10583518901</x:v>
      </x:c>
      <x:c r="E7" s="54" t="n">
        <x:f>E$5*$K$3*$A7-($K$5+$K$4*$K$3)</x:f>
        <x:v>-14020.105835188995</x:v>
      </x:c>
      <x:c r="F7" s="54" t="n">
        <x:f>F$5*$K$3*$A7-($K$5+$K$4*$K$3)</x:f>
        <x:v>1813.8941648110049</x:v>
      </x:c>
      <x:c r="G7" s="54" t="n">
        <x:f>G$5*$K$3*$A7-($K$5+$K$4*$K$3)</x:f>
        <x:v>17647.894164811005</x:v>
      </x:c>
      <x:c r="H7" s="54" t="n">
        <x:f>H$5*$K$3*$A7-($K$5+$K$4*$K$3)</x:f>
        <x:v>33481.894164811005</x:v>
      </x:c>
      <x:c r="I7" t="str"/>
      <x:c r="J7" s="58" t="str">
        <x:v>Current BE price</x:v>
      </x:c>
      <x:c r="K7" s="58" t="n">
        <x:f>INDEX(Engine!$C$62:$D$62,1,$K$2)</x:f>
        <x:v>1.6224642815256394</x:v>
      </x:c>
    </x:row>
    <x:row r="8">
      <x:c r="A8" s="50" t="n">
        <x:v>0.75</x:v>
      </x:c>
      <x:c r="B8" s="54" t="n">
        <x:f>B$5*$K$3*$A8-($K$5+$K$4*$K$3)</x:f>
        <x:v>-54736.105835188995</x:v>
      </x:c>
      <x:c r="C8" s="54" t="n">
        <x:f>C$5*$K$3*$A8-($K$5+$K$4*$K$3)</x:f>
        <x:v>-37771.105835188995</x:v>
      </x:c>
      <x:c r="D8" s="54" t="n">
        <x:f>D$5*$K$3*$A8-($K$5+$K$4*$K$3)</x:f>
        <x:v>-20806.105835188995</x:v>
      </x:c>
      <x:c r="E8" s="54" t="n">
        <x:f>E$5*$K$3*$A8-($K$5+$K$4*$K$3)</x:f>
        <x:v>-3841.105835188995</x:v>
      </x:c>
      <x:c r="F8" s="54" t="n">
        <x:f>F$5*$K$3*$A8-($K$5+$K$4*$K$3)</x:f>
        <x:v>13123.894164811005</x:v>
      </x:c>
      <x:c r="G8" s="54" t="n">
        <x:f>G$5*$K$3*$A8-($K$5+$K$4*$K$3)</x:f>
        <x:v>30088.894164811034</x:v>
      </x:c>
      <x:c r="H8" s="54" t="n">
        <x:f>H$5*$K$3*$A8-($K$5+$K$4*$K$3)</x:f>
        <x:v>47053.894164811005</x:v>
      </x:c>
      <x:c r="I8" t="str"/>
      <x:c r="J8" s="58" t="str">
        <x:v>Target margin price</x:v>
      </x:c>
      <x:c r="K8" s="58" t="n">
        <x:f>INDEX(Engine!$C$63:$D$63,1,$K$2)</x:f>
        <x:v>1.8027380905840438</x:v>
      </x:c>
    </x:row>
    <x:row r="9">
      <x:c r="A9" s="50" t="n">
        <x:v>0.8</x:v>
      </x:c>
      <x:c r="B9" s="54" t="n">
        <x:f>B$5*$K$3*$A9-($K$5+$K$4*$K$3)</x:f>
        <x:v>-47950.105835188995</x:v>
      </x:c>
      <x:c r="C9" s="54" t="n">
        <x:f>C$5*$K$3*$A9-($K$5+$K$4*$K$3)</x:f>
        <x:v>-29854.105835188995</x:v>
      </x:c>
      <x:c r="D9" s="54" t="n">
        <x:f>D$5*$K$3*$A9-($K$5+$K$4*$K$3)</x:f>
        <x:v>-11758.105835188995</x:v>
      </x:c>
      <x:c r="E9" s="54" t="n">
        <x:f>E$5*$K$3*$A9-($K$5+$K$4*$K$3)</x:f>
        <x:v>6337.894164811005</x:v>
      </x:c>
      <x:c r="F9" s="54" t="n">
        <x:f>F$5*$K$3*$A9-($K$5+$K$4*$K$3)</x:f>
        <x:v>24433.894164811005</x:v>
      </x:c>
      <x:c r="G9" s="54" t="n">
        <x:f>G$5*$K$3*$A9-($K$5+$K$4*$K$3)</x:f>
        <x:v>42529.894164811034</x:v>
      </x:c>
      <x:c r="H9" s="54" t="n">
        <x:f>H$5*$K$3*$A9-($K$5+$K$4*$K$3)</x:f>
        <x:v>60625.894164811005</x:v>
      </x:c>
      <x:c r="I9" t="str"/>
      <x:c r="J9" s="195" t="str">
        <x:v>Selected customer rate</x:v>
      </x:c>
      <x:c r="K9" s="195" t="n">
        <x:f>INDEX(Engine!$C$28:$D$28,1,$K$2)</x:f>
        <x:v>1.8252723167163443</x:v>
      </x:c>
    </x:row>
    <x:row r="10">
      <x:c r="A10" s="50" t="n">
        <x:v>0.85</x:v>
      </x:c>
      <x:c r="B10" s="54" t="n">
        <x:f>B$5*$K$3*$A10-($K$5+$K$4*$K$3)</x:f>
        <x:v>-41164.105835188995</x:v>
      </x:c>
      <x:c r="C10" s="54" t="n">
        <x:f>C$5*$K$3*$A10-($K$5+$K$4*$K$3)</x:f>
        <x:v>-21937.105835188995</x:v>
      </x:c>
      <x:c r="D10" s="54" t="n">
        <x:f>D$5*$K$3*$A10-($K$5+$K$4*$K$3)</x:f>
        <x:v>-2710.105835188995</x:v>
      </x:c>
      <x:c r="E10" s="54" t="n">
        <x:f>E$5*$K$3*$A10-($K$5+$K$4*$K$3)</x:f>
        <x:v>16516.894164811005</x:v>
      </x:c>
      <x:c r="F10" s="54" t="n">
        <x:f>F$5*$K$3*$A10-($K$5+$K$4*$K$3)</x:f>
        <x:v>35743.894164811005</x:v>
      </x:c>
      <x:c r="G10" s="54" t="n">
        <x:f>G$5*$K$3*$A10-($K$5+$K$4*$K$3)</x:f>
        <x:v>54970.894164811034</x:v>
      </x:c>
      <x:c r="H10" s="54" t="n">
        <x:f>H$5*$K$3*$A10-($K$5+$K$4*$K$3)</x:f>
        <x:v>74197.894164811</x:v>
      </x:c>
      <x:c r="I10" t="str"/>
      <x:c r="J10" s="195" t="str">
        <x:v>EBIT at selected rate</x:v>
      </x:c>
      <x:c r="K10" s="195" t="n">
        <x:f>INDEX(Engine!$C$65:$D$65,1,$K$2)</x:f>
        <x:v>19565.76322939861</x:v>
      </x:c>
    </x:row>
    <x:row r="11">
      <x:c r="A11" s="50" t="n">
        <x:v>0.9</x:v>
      </x:c>
      <x:c r="B11" s="54" t="n">
        <x:f>B$5*$K$3*$A11-($K$5+$K$4*$K$3)</x:f>
        <x:v>-34378.105835188995</x:v>
      </x:c>
      <x:c r="C11" s="54" t="n">
        <x:f>C$5*$K$3*$A11-($K$5+$K$4*$K$3)</x:f>
        <x:v>-14020.105835188995</x:v>
      </x:c>
      <x:c r="D11" s="54" t="n">
        <x:f>D$5*$K$3*$A11-($K$5+$K$4*$K$3)</x:f>
        <x:v>6337.894164811005</x:v>
      </x:c>
      <x:c r="E11" s="54" t="n">
        <x:f>E$5*$K$3*$A11-($K$5+$K$4*$K$3)</x:f>
        <x:v>26695.894164811005</x:v>
      </x:c>
      <x:c r="F11" s="54" t="n">
        <x:f>F$5*$K$3*$A11-($K$5+$K$4*$K$3)</x:f>
        <x:v>47053.894164811005</x:v>
      </x:c>
      <x:c r="G11" s="54" t="n">
        <x:f>G$5*$K$3*$A11-($K$5+$K$4*$K$3)</x:f>
        <x:v>67411.89416481103</x:v>
      </x:c>
      <x:c r="H11" s="54" t="n">
        <x:f>H$5*$K$3*$A11-($K$5+$K$4*$K$3)</x:f>
        <x:v>87769.894164811</x:v>
      </x:c>
      <x:c r="I11" t="str"/>
      <x:c r="J11" t="str"/>
    </x:row>
    <x:row r="12">
      <x:c r="A12" s="50" t="n">
        <x:v>0.95</x:v>
      </x:c>
      <x:c r="B12" s="54" t="n">
        <x:f>B$5*$K$3*$A12-($K$5+$K$4*$K$3)</x:f>
        <x:v>-27592.105835188995</x:v>
      </x:c>
      <x:c r="C12" s="54" t="n">
        <x:f>C$5*$K$3*$A12-($K$5+$K$4*$K$3)</x:f>
        <x:v>-6103.105835188995</x:v>
      </x:c>
      <x:c r="D12" s="54" t="n">
        <x:f>D$5*$K$3*$A12-($K$5+$K$4*$K$3)</x:f>
        <x:v>15385.894164811005</x:v>
      </x:c>
      <x:c r="E12" s="54" t="n">
        <x:f>E$5*$K$3*$A12-($K$5+$K$4*$K$3)</x:f>
        <x:v>36874.894164811005</x:v>
      </x:c>
      <x:c r="F12" s="54" t="n">
        <x:f>F$5*$K$3*$A12-($K$5+$K$4*$K$3)</x:f>
        <x:v>58363.894164811005</x:v>
      </x:c>
      <x:c r="G12" s="54" t="n">
        <x:f>G$5*$K$3*$A12-($K$5+$K$4*$K$3)</x:f>
        <x:v>79852.89416481103</x:v>
      </x:c>
      <x:c r="H12" s="54" t="n">
        <x:f>H$5*$K$3*$A12-($K$5+$K$4*$K$3)</x:f>
        <x:v>101341.894164811</x:v>
      </x:c>
      <x:c r="I12" t="str"/>
      <x:c r="J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</x:row>
    <x:row r="14">
      <x:c r="A14" s="20" t="str">
        <x:v>Scenario curve at current loaded ratio</x:v>
      </x:c>
      <x:c r="B14" s="20" t="str"/>
      <x:c r="C14" s="20" t="str"/>
      <x:c r="D14" t="str"/>
      <x:c r="E14" t="str"/>
      <x:c r="F14" t="str"/>
      <x:c r="G14" t="str"/>
      <x:c r="H14" t="str"/>
      <x:c r="I14" t="str"/>
      <x:c r="J14" t="str"/>
    </x:row>
    <x:row r="15">
      <x:c r="A15" s="20" t="str">
        <x:v>Rate</x:v>
      </x:c>
      <x:c r="B15" s="20" t="str">
        <x:v>Long Distance EBIT</x:v>
      </x:c>
      <x:c r="C15" s="20" t="str">
        <x:v>Regional EBIT</x:v>
      </x:c>
      <x:c r="D15" t="str"/>
      <x:c r="E15" t="str"/>
      <x:c r="F15" t="str"/>
      <x:c r="G15" t="str"/>
      <x:c r="H15" t="str"/>
      <x:c r="I15" t="str"/>
      <x:c r="J15" t="str"/>
    </x:row>
    <x:row r="16">
      <x:c r="A16" s="56" t="n">
        <x:v>1.2</x:v>
      </x:c>
      <x:c r="B16" s="54" t="n">
        <x:f>$A16*Engine!$C$3*Engine!$C$8-(Engine!$C$57+Engine!$C$42*Engine!$C$3)</x:f>
        <x:v>-40756.94583518899</x:v>
      </x:c>
      <x:c r="C16" s="54" t="n">
        <x:f>$A16*Engine!$D$3*Engine!$D$8-(Engine!$D$57+Engine!$D$42*Engine!$D$3)</x:f>
        <x:v>-44957.18807430001</x:v>
      </x:c>
      <x:c r="D16" t="str"/>
      <x:c r="E16" t="str"/>
      <x:c r="F16" t="str"/>
      <x:c r="G16" t="str"/>
      <x:c r="H16" t="str"/>
      <x:c r="I16" t="str"/>
      <x:c r="J16" t="str"/>
    </x:row>
    <x:row r="17">
      <x:c r="A17" s="56" t="n">
        <x:v>1.3</x:v>
      </x:c>
      <x:c r="B17" s="54" t="n">
        <x:f>$A17*Engine!$C$3*Engine!$C$8-(Engine!$C$57+Engine!$C$42*Engine!$C$3)</x:f>
        <x:v>-31109.515835189</x:v>
      </x:c>
      <x:c r="C17" s="54" t="n">
        <x:f>$A17*Engine!$D$3*Engine!$D$8-(Engine!$D$57+Engine!$D$42*Engine!$D$3)</x:f>
        <x:v>-37068.18807430001</x:v>
      </x:c>
      <x:c r="D17" t="str"/>
      <x:c r="E17" t="str"/>
      <x:c r="F17" t="str"/>
      <x:c r="G17" t="str"/>
      <x:c r="H17" t="str"/>
      <x:c r="I17" t="str"/>
      <x:c r="J17" t="str"/>
    </x:row>
    <x:row r="18">
      <x:c r="A18" s="56" t="n">
        <x:v>1.4</x:v>
      </x:c>
      <x:c r="B18" s="54" t="n">
        <x:f>$A18*Engine!$C$3*Engine!$C$8-(Engine!$C$57+Engine!$C$42*Engine!$C$3)</x:f>
        <x:v>-21462.085835189006</x:v>
      </x:c>
      <x:c r="C18" s="54" t="n">
        <x:f>$A18*Engine!$D$3*Engine!$D$8-(Engine!$D$57+Engine!$D$42*Engine!$D$3)</x:f>
        <x:v>-29179.188074300007</x:v>
      </x:c>
      <x:c r="D18" t="str"/>
      <x:c r="E18" t="str"/>
      <x:c r="F18" t="str"/>
      <x:c r="G18" t="str"/>
      <x:c r="H18" t="str"/>
      <x:c r="I18" t="str"/>
      <x:c r="J18" t="str"/>
    </x:row>
    <x:row r="19">
      <x:c r="A19" s="56" t="n">
        <x:v>1.5</x:v>
      </x:c>
      <x:c r="B19" s="54" t="n">
        <x:f>$A19*Engine!$C$3*Engine!$C$8-(Engine!$C$57+Engine!$C$42*Engine!$C$3)</x:f>
        <x:v>-11814.655835189013</x:v>
      </x:c>
      <x:c r="C19" s="54" t="n">
        <x:f>$A19*Engine!$D$3*Engine!$D$8-(Engine!$D$57+Engine!$D$42*Engine!$D$3)</x:f>
        <x:v>-21290.188074300007</x:v>
      </x:c>
      <x:c r="D19" t="str"/>
      <x:c r="E19" t="str"/>
      <x:c r="F19" t="str"/>
      <x:c r="G19" t="str"/>
      <x:c r="H19" t="str"/>
      <x:c r="I19" t="str"/>
      <x:c r="J19" t="str"/>
    </x:row>
    <x:row r="20">
      <x:c r="A20" s="56" t="n">
        <x:v>1.6</x:v>
      </x:c>
      <x:c r="B20" s="54" t="n">
        <x:f>$A20*Engine!$C$3*Engine!$C$8-(Engine!$C$57+Engine!$C$42*Engine!$C$3)</x:f>
        <x:v>-2167.2258351889905</x:v>
      </x:c>
      <x:c r="C20" s="54" t="n">
        <x:f>$A20*Engine!$D$3*Engine!$D$8-(Engine!$D$57+Engine!$D$42*Engine!$D$3)</x:f>
        <x:v>-13401.188074299993</x:v>
      </x:c>
      <x:c r="D20" t="str"/>
      <x:c r="E20" t="str"/>
      <x:c r="F20" t="str"/>
      <x:c r="G20" t="str"/>
      <x:c r="H20" t="str"/>
      <x:c r="I20" t="str"/>
      <x:c r="J20" t="str"/>
    </x:row>
    <x:row r="21">
      <x:c r="A21" s="56" t="n">
        <x:v>1.7</x:v>
      </x:c>
      <x:c r="B21" s="54" t="n">
        <x:f>$A21*Engine!$C$3*Engine!$C$8-(Engine!$C$57+Engine!$C$42*Engine!$C$3)</x:f>
        <x:v>7480.204164811003</x:v>
      </x:c>
      <x:c r="C21" s="54" t="n">
        <x:f>$A21*Engine!$D$3*Engine!$D$8-(Engine!$D$57+Engine!$D$42*Engine!$D$3)</x:f>
        <x:v>-5512.188074300007</x:v>
      </x:c>
      <x:c r="D21" t="str"/>
      <x:c r="E21" t="str"/>
      <x:c r="F21" t="str"/>
      <x:c r="G21" t="str"/>
      <x:c r="H21" t="str"/>
      <x:c r="I21" t="str"/>
      <x:c r="J21" t="str"/>
    </x:row>
    <x:row r="22">
      <x:c r="A22" s="56" t="n">
        <x:v>1.8</x:v>
      </x:c>
      <x:c r="B22" s="54" t="n">
        <x:f>$A22*Engine!$C$3*Engine!$C$8-(Engine!$C$57+Engine!$C$42*Engine!$C$3)</x:f>
        <x:v>17127.634164810996</x:v>
      </x:c>
      <x:c r="C22" s="54" t="n">
        <x:f>$A22*Engine!$D$3*Engine!$D$8-(Engine!$D$57+Engine!$D$42*Engine!$D$3)</x:f>
        <x:v>2376.8119256999926</x:v>
      </x:c>
      <x:c r="D22" t="str"/>
      <x:c r="E22" t="str"/>
      <x:c r="F22" t="str"/>
      <x:c r="G22" t="str"/>
      <x:c r="H22" t="str"/>
      <x:c r="I22" t="str"/>
      <x:c r="J22" t="str"/>
    </x:row>
    <x:row r="23">
      <x:c r="A23" s="56" t="n">
        <x:v>1.9</x:v>
      </x:c>
      <x:c r="B23" s="54" t="n">
        <x:f>$A23*Engine!$C$3*Engine!$C$8-(Engine!$C$57+Engine!$C$42*Engine!$C$3)</x:f>
        <x:v>26775.06416481099</x:v>
      </x:c>
      <x:c r="C23" s="54" t="n">
        <x:f>$A23*Engine!$D$3*Engine!$D$8-(Engine!$D$57+Engine!$D$42*Engine!$D$3)</x:f>
        <x:v>10265.811925699993</x:v>
      </x:c>
      <x:c r="D23" t="str"/>
      <x:c r="E23" t="str"/>
      <x:c r="F23" t="str"/>
      <x:c r="G23" t="str"/>
      <x:c r="H23" t="str"/>
      <x:c r="I23" t="str"/>
      <x:c r="J23" t="str"/>
    </x:row>
    <x:row r="24">
      <x:c r="A24" s="56" t="n">
        <x:v>2</x:v>
      </x:c>
      <x:c r="B24" s="54" t="n">
        <x:f>$A24*Engine!$C$3*Engine!$C$8-(Engine!$C$57+Engine!$C$42*Engine!$C$3)</x:f>
        <x:v>36422.49416481101</x:v>
      </x:c>
      <x:c r="C24" s="54" t="n">
        <x:f>$A24*Engine!$D$3*Engine!$D$8-(Engine!$D$57+Engine!$D$42*Engine!$D$3)</x:f>
        <x:v>18154.811925699993</x:v>
      </x:c>
      <x:c r="D24" t="str"/>
      <x:c r="E24" t="str"/>
      <x:c r="F24" t="str"/>
      <x:c r="G24" t="str"/>
      <x:c r="H24" t="str"/>
      <x:c r="I24" t="str"/>
      <x:c r="J24" t="str"/>
    </x:row>
    <x:row r="25">
      <x:c r="A25" s="56" t="n">
        <x:v>2.1</x:v>
      </x:c>
      <x:c r="B25" s="54" t="n">
        <x:f>$A25*Engine!$C$3*Engine!$C$8-(Engine!$C$57+Engine!$C$42*Engine!$C$3)</x:f>
        <x:v>46069.924164811004</x:v>
      </x:c>
      <x:c r="C25" s="54" t="n">
        <x:f>$A25*Engine!$D$3*Engine!$D$8-(Engine!$D$57+Engine!$D$42*Engine!$D$3)</x:f>
        <x:v>26043.811925699993</x:v>
      </x:c>
      <x:c r="D25" t="str"/>
      <x:c r="E25" t="str"/>
      <x:c r="F25" t="str"/>
      <x:c r="G25" t="str"/>
      <x:c r="H25" t="str"/>
      <x:c r="I25" t="str"/>
      <x:c r="J25" t="str"/>
    </x:row>
    <x:row r="26">
      <x:c r="A26" s="56" t="n">
        <x:v>2.2</x:v>
      </x:c>
      <x:c r="B26" s="54" t="n">
        <x:f>$A26*Engine!$C$3*Engine!$C$8-(Engine!$C$57+Engine!$C$42*Engine!$C$3)</x:f>
        <x:v>55717.354164811026</x:v>
      </x:c>
      <x:c r="C26" s="54" t="n">
        <x:f>$A26*Engine!$D$3*Engine!$D$8-(Engine!$D$57+Engine!$D$42*Engine!$D$3)</x:f>
        <x:v>33932.81192570002</x:v>
      </x:c>
      <x:c r="D26" t="str"/>
      <x:c r="E26" t="str"/>
      <x:c r="F26" t="str"/>
      <x:c r="G26" t="str"/>
      <x:c r="H26" t="str"/>
      <x:c r="I26" t="str"/>
      <x:c r="J26" t="str"/>
    </x:row>
    <x:row r="27">
      <x:c r="A27" s="56" t="n">
        <x:v>2.3</x:v>
      </x:c>
      <x:c r="B27" s="54" t="n">
        <x:f>$A27*Engine!$C$3*Engine!$C$8-(Engine!$C$57+Engine!$C$42*Engine!$C$3)</x:f>
        <x:v>65364.78416481096</x:v>
      </x:c>
      <x:c r="C27" s="54" t="n">
        <x:f>$A27*Engine!$D$3*Engine!$D$8-(Engine!$D$57+Engine!$D$42*Engine!$D$3)</x:f>
        <x:v>41821.81192569999</x:v>
      </x:c>
      <x:c r="D27" t="str"/>
      <x:c r="E27" t="str"/>
      <x:c r="F27" t="str"/>
      <x:c r="G27" t="str"/>
      <x:c r="H27" t="str"/>
      <x:c r="I27" t="str"/>
      <x:c r="J27" t="str"/>
    </x:row>
    <x:row r="28">
      <x:c r="A28" s="56" t="n">
        <x:v>2.4</x:v>
      </x:c>
      <x:c r="B28" s="54" t="n">
        <x:f>$A28*Engine!$C$3*Engine!$C$8-(Engine!$C$57+Engine!$C$42*Engine!$C$3)</x:f>
        <x:v>75012.21416481101</x:v>
      </x:c>
      <x:c r="C28" s="54" t="n">
        <x:f>$A28*Engine!$D$3*Engine!$D$8-(Engine!$D$57+Engine!$D$42*Engine!$D$3)</x:f>
        <x:v>49710.81192569999</x:v>
      </x:c>
      <x:c r="D28" t="str"/>
      <x:c r="E28" t="str"/>
      <x:c r="F28" t="str"/>
      <x:c r="G28" t="str"/>
      <x:c r="H28" t="str"/>
      <x:c r="I28" t="str"/>
      <x:c r="J28" t="str"/>
    </x:row>
    <x:row r="31">
      <x:c r="A31" s="64" t="str">
        <x:v>Load capability sensitivity by vehicle type</x:v>
      </x:c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</x:row>
    <x:row r="32" ht="36" customHeight="1">
      <x:c r="A32" s="67" t="str">
        <x:v>This section compares break-even by vehicle capability, from vans to high-capacity trucks. Use EUR/tonne-km when payload is the commercial constraint; use EUR/loaded-km when the truck is sold as a full-truck movement.</x:v>
      </x:c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</x:row>
    <x:row r="33">
      <x:c r="A33" s="72" t="str">
        <x:v>Vehicle class</x:v>
      </x:c>
      <x:c r="B33" s="72" t="str">
        <x:v>Payload capacity (t)</x:v>
      </x:c>
      <x:c r="C33" s="72" t="str">
        <x:v>Effective payload (t)</x:v>
      </x:c>
      <x:c r="D33" s="72" t="str">
        <x:v>Loaded km/year</x:v>
      </x:c>
      <x:c r="E33" s="72" t="str">
        <x:v>Annual tonne-km</x:v>
      </x:c>
      <x:c r="F33" s="72" t="str">
        <x:v>Total annual cost (EUR)</x:v>
      </x:c>
      <x:c r="G33" s="72" t="str">
        <x:v>Break-even EUR/loaded km</x:v>
      </x:c>
      <x:c r="H33" s="72" t="str">
        <x:v>Break-even EUR/tonne-km</x:v>
      </x:c>
      <x:c r="I33" s="72" t="str">
        <x:v>Availability / validation note</x:v>
      </x:c>
      <x:c r="J33" s="72" t="str">
        <x:v>Source URL</x:v>
      </x:c>
      <x:c r="K33" s="72" t="str">
        <x:v>Data type</x:v>
      </x:c>
    </x:row>
    <x:row r="34">
      <x:c r="A34" s="91" t="str">
        <x:f>'Vehicle Classes'!A5</x:f>
        <x:v>Small van</x:v>
      </x:c>
      <x:c r="B34" s="145" t="n">
        <x:f>'Vehicle Classes'!D5</x:f>
        <x:v>1.2</x:v>
      </x:c>
      <x:c r="C34" s="145" t="n">
        <x:f>'Vehicle Classes'!F5</x:f>
        <x:v>0.8999999999999999</x:v>
      </x:c>
      <x:c r="D34" s="148" t="n">
        <x:f>'Vehicle Classes'!I5</x:f>
        <x:v>31499.999999999996</x:v>
      </x:c>
      <x:c r="E34" s="148" t="n">
        <x:f>D34*C34</x:f>
        <x:v>28349.999999999993</x:v>
      </x:c>
      <x:c r="F34" s="151" t="n">
        <x:f>'Vehicle Classes'!R5</x:f>
        <x:v>59910.117771875</x:v>
      </x:c>
      <x:c r="G34" s="154" t="n">
        <x:f>'Vehicle Classes'!S5</x:f>
        <x:v>1.9019085006944445</x:v>
      </x:c>
      <x:c r="H34" s="157" t="n">
        <x:f>'Vehicle Classes'!T5</x:f>
        <x:v>2.113231667438272</x:v>
      </x:c>
      <x:c r="I34" s="92" t="str">
        <x:f>'Vehicle Classes'!U5</x:f>
        <x:v>Model assumption; validate payload against actual van spec</x:v>
      </x:c>
      <x:c r="J34" s="92" t="str">
        <x:f>'Vehicle Classes'!V5</x:f>
        <x:v>https://climate.ec.europa.eu/system/files/2017-03/hdv_lightweighting_en.pdf</x:v>
      </x:c>
      <x:c r="K34" s="93" t="str">
        <x:f>'Vehicle Classes'!W5</x:f>
        <x:v>Editable</x:v>
      </x:c>
    </x:row>
    <x:row r="35">
      <x:c r="A35" s="94" t="str">
        <x:f>'Vehicle Classes'!A6</x:f>
        <x:v>Large van 3.5t</x:v>
      </x:c>
      <x:c r="B35" s="146" t="n">
        <x:f>'Vehicle Classes'!D6</x:f>
        <x:v>2</x:v>
      </x:c>
      <x:c r="C35" s="146" t="n">
        <x:f>'Vehicle Classes'!F6</x:f>
        <x:v>1.5</x:v>
      </x:c>
      <x:c r="D35" s="149" t="n">
        <x:f>'Vehicle Classes'!I6</x:f>
        <x:v>46800</x:v>
      </x:c>
      <x:c r="E35" s="149" t="n">
        <x:f>D35*C35</x:f>
        <x:v>70200</x:v>
      </x:c>
      <x:c r="F35" s="152" t="n">
        <x:f>'Vehicle Classes'!R6</x:f>
        <x:v>75971.092075</x:v>
      </x:c>
      <x:c r="G35" s="155" t="n">
        <x:f>'Vehicle Classes'!S6</x:f>
        <x:v>1.6233139332264956</x:v>
      </x:c>
      <x:c r="H35" s="158" t="n">
        <x:f>'Vehicle Classes'!T6</x:f>
        <x:v>1.0822092888176638</x:v>
      </x:c>
      <x:c r="I35" s="95" t="str">
        <x:f>'Vehicle Classes'!U6</x:f>
        <x:v>3.5t GVW large van; payload can reach about 2t depending on body/spec</x:v>
      </x:c>
      <x:c r="J35" s="95" t="str">
        <x:f>'Vehicle Classes'!V6</x:f>
        <x:v>https://climate.ec.europa.eu/system/files/2017-03/hdv_lightweighting_en.pdf</x:v>
      </x:c>
      <x:c r="K35" s="96" t="str">
        <x:f>'Vehicle Classes'!W6</x:f>
        <x:v>Editable</x:v>
      </x:c>
    </x:row>
    <x:row r="36">
      <x:c r="A36" s="94" t="str">
        <x:f>'Vehicle Classes'!A7</x:f>
        <x:v>Light truck 7.5t</x:v>
      </x:c>
      <x:c r="B36" s="146" t="n">
        <x:f>'Vehicle Classes'!D7</x:f>
        <x:v>3.5</x:v>
      </x:c>
      <x:c r="C36" s="146" t="n">
        <x:f>'Vehicle Classes'!F7</x:f>
        <x:v>2.8000000000000003</x:v>
      </x:c>
      <x:c r="D36" s="149" t="n">
        <x:f>'Vehicle Classes'!I7</x:f>
        <x:v>56250</x:v>
      </x:c>
      <x:c r="E36" s="149" t="n">
        <x:f>D36*C36</x:f>
        <x:v>157500.00000000003</x:v>
      </x:c>
      <x:c r="F36" s="152" t="n">
        <x:f>'Vehicle Classes'!R7</x:f>
        <x:v>105186.29550000001</x:v>
      </x:c>
      <x:c r="G36" s="155" t="n">
        <x:f>'Vehicle Classes'!S7</x:f>
        <x:v>1.8699785866666667</x:v>
      </x:c>
      <x:c r="H36" s="158" t="n">
        <x:f>'Vehicle Classes'!T7</x:f>
        <x:v>0.6678494952380951</x:v>
      </x:c>
      <x:c r="I36" s="95" t="str">
        <x:f>'Vehicle Classes'!U7</x:f>
        <x:v>Operational class assumption; validate by vehicle body and national rules</x:v>
      </x:c>
      <x:c r="J36" s="95" t="n">
        <x:f>'Vehicle Classes'!V7</x:f>
        <x:v>0</x:v>
      </x:c>
      <x:c r="K36" s="96" t="str">
        <x:f>'Vehicle Classes'!W7</x:f>
        <x:v>Editable</x:v>
      </x:c>
    </x:row>
    <x:row r="37">
      <x:c r="A37" s="94" t="str">
        <x:f>'Vehicle Classes'!A8</x:f>
        <x:v>Medium rigid 12t</x:v>
      </x:c>
      <x:c r="B37" s="146" t="n">
        <x:f>'Vehicle Classes'!D8</x:f>
        <x:v>6</x:v>
      </x:c>
      <x:c r="C37" s="146" t="n">
        <x:f>'Vehicle Classes'!F8</x:f>
        <x:v>4.92</x:v>
      </x:c>
      <x:c r="D37" s="149" t="n">
        <x:f>'Vehicle Classes'!I8</x:f>
        <x:v>62400</x:v>
      </x:c>
      <x:c r="E37" s="149" t="n">
        <x:f>D37*C37</x:f>
        <x:v>307008</x:v>
      </x:c>
      <x:c r="F37" s="152" t="n">
        <x:f>'Vehicle Classes'!R8</x:f>
        <x:v>136873.2334</x:v>
      </x:c>
      <x:c r="G37" s="155" t="n">
        <x:f>'Vehicle Classes'!S8</x:f>
        <x:v>2.1934813044871793</x:v>
      </x:c>
      <x:c r="H37" s="158" t="n">
        <x:f>'Vehicle Classes'!T8</x:f>
        <x:v>0.44582953343235354</x:v>
      </x:c>
      <x:c r="I37" s="95" t="str">
        <x:f>'Vehicle Classes'!U8</x:f>
        <x:v>Operational class assumption; payload depends on body and axle setup</x:v>
      </x:c>
      <x:c r="J37" s="95" t="n">
        <x:f>'Vehicle Classes'!V8</x:f>
        <x:v>0</x:v>
      </x:c>
      <x:c r="K37" s="96" t="str">
        <x:f>'Vehicle Classes'!W8</x:f>
        <x:v>Editable</x:v>
      </x:c>
    </x:row>
    <x:row r="38">
      <x:c r="A38" s="94" t="str">
        <x:f>'Vehicle Classes'!A9</x:f>
        <x:v>Rigid truck 18t</x:v>
      </x:c>
      <x:c r="B38" s="146" t="n">
        <x:f>'Vehicle Classes'!D9</x:f>
        <x:v>9</x:v>
      </x:c>
      <x:c r="C38" s="146" t="n">
        <x:f>'Vehicle Classes'!F9</x:f>
        <x:v>7.6499999999999995</x:v>
      </x:c>
      <x:c r="D38" s="149" t="n">
        <x:f>'Vehicle Classes'!I9</x:f>
        <x:v>68000</x:v>
      </x:c>
      <x:c r="E38" s="149" t="n">
        <x:f>D38*C38</x:f>
        <x:v>520199.99999999994</x:v>
      </x:c>
      <x:c r="F38" s="152" t="n">
        <x:f>'Vehicle Classes'!R9</x:f>
        <x:v>169093.79014375</x:v>
      </x:c>
      <x:c r="G38" s="155" t="n">
        <x:f>'Vehicle Classes'!S9</x:f>
        <x:v>2.4866733844669118</x:v>
      </x:c>
      <x:c r="H38" s="158" t="n">
        <x:f>'Vehicle Classes'!T9</x:f>
        <x:v>0.32505534437475975</x:v>
      </x:c>
      <x:c r="I38" s="95" t="str">
        <x:f>'Vehicle Classes'!U9</x:f>
        <x:v>Operational class assumption; common distribution/retail class</x:v>
      </x:c>
      <x:c r="J38" s="95" t="n">
        <x:f>'Vehicle Classes'!V9</x:f>
        <x:v>0</x:v>
      </x:c>
      <x:c r="K38" s="96" t="str">
        <x:f>'Vehicle Classes'!W9</x:f>
        <x:v>Editable</x:v>
      </x:c>
    </x:row>
    <x:row r="39">
      <x:c r="A39" s="94" t="str">
        <x:f>'Vehicle Classes'!A10</x:f>
        <x:v>Rigid truck 26t</x:v>
      </x:c>
      <x:c r="B39" s="146" t="n">
        <x:f>'Vehicle Classes'!D10</x:f>
        <x:v>14</x:v>
      </x:c>
      <x:c r="C39" s="146" t="n">
        <x:f>'Vehicle Classes'!F10</x:f>
        <x:v>11.9</x:v>
      </x:c>
      <x:c r="D39" s="149" t="n">
        <x:f>'Vehicle Classes'!I10</x:f>
        <x:v>73800</x:v>
      </x:c>
      <x:c r="E39" s="149" t="n">
        <x:f>D39*C39</x:f>
        <x:v>878220</x:v>
      </x:c>
      <x:c r="F39" s="152" t="n">
        <x:f>'Vehicle Classes'!R10</x:f>
        <x:v>203308.1370375</x:v>
      </x:c>
      <x:c r="G39" s="155" t="n">
        <x:f>'Vehicle Classes'!S10</x:f>
        <x:v>2.754852805386179</x:v>
      </x:c>
      <x:c r="H39" s="158" t="n">
        <x:f>'Vehicle Classes'!T10</x:f>
        <x:v>0.23150023574673773</x:v>
      </x:c>
      <x:c r="I39" s="95" t="str">
        <x:f>'Vehicle Classes'!U10</x:f>
        <x:v>Operational class assumption; common 3-axle heavy rigid class</x:v>
      </x:c>
      <x:c r="J39" s="95" t="n">
        <x:f>'Vehicle Classes'!V10</x:f>
        <x:v>0</x:v>
      </x:c>
      <x:c r="K39" s="96" t="str">
        <x:f>'Vehicle Classes'!W10</x:f>
        <x:v>Editable</x:v>
      </x:c>
    </x:row>
    <x:row r="40">
      <x:c r="A40" s="94" t="str">
        <x:f>'Vehicle Classes'!A11</x:f>
        <x:v>Articulated 40t</x:v>
      </x:c>
      <x:c r="B40" s="146" t="n">
        <x:f>'Vehicle Classes'!D11</x:f>
        <x:v>24</x:v>
      </x:c>
      <x:c r="C40" s="146" t="n">
        <x:f>'Vehicle Classes'!F11</x:f>
        <x:v>20.832</x:v>
      </x:c>
      <x:c r="D40" s="149" t="n">
        <x:f>'Vehicle Classes'!I11</x:f>
        <x:v>96474.3</x:v>
      </x:c>
      <x:c r="E40" s="149" t="n">
        <x:f>D40*C40</x:f>
        <x:v>2009752.6176000002</x:v>
      </x:c>
      <x:c r="F40" s="152" t="n">
        <x:f>'Vehicle Classes'!R11</x:f>
        <x:v>154127.70559992502</x:v>
      </x:c>
      <x:c r="G40" s="155" t="n">
        <x:f>'Vehicle Classes'!S11</x:f>
        <x:v>1.5976037721955485</x:v>
      </x:c>
      <x:c r="H40" s="158" t="n">
        <x:f>'Vehicle Classes'!T11</x:f>
        <x:v>0.0766898892182963</x:v>
      </x:c>
      <x:c r="I40" s="95" t="str">
        <x:f>'Vehicle Classes'!U11</x:f>
        <x:v>Standard EU heavy-goods reference class; original model anchor</x:v>
      </x:c>
      <x:c r="J40" s="95" t="str">
        <x:f>'Vehicle Classes'!V11</x:f>
        <x:v>https://ec.europa.eu/commission/presscorner/detail/en/MEMO_13_329</x:v>
      </x:c>
      <x:c r="K40" s="96" t="str">
        <x:f>'Vehicle Classes'!W11</x:f>
        <x:v>Editable</x:v>
      </x:c>
    </x:row>
    <x:row r="41">
      <x:c r="A41" s="94" t="str">
        <x:f>'Vehicle Classes'!A12</x:f>
        <x:v>Articulated 44t</x:v>
      </x:c>
      <x:c r="B41" s="146" t="n">
        <x:f>'Vehicle Classes'!D12</x:f>
        <x:v>28</x:v>
      </x:c>
      <x:c r="C41" s="146" t="n">
        <x:f>'Vehicle Classes'!F12</x:f>
        <x:v>24.64</x:v>
      </x:c>
      <x:c r="D41" s="149" t="n">
        <x:f>'Vehicle Classes'!I12</x:f>
        <x:v>97266</x:v>
      </x:c>
      <x:c r="E41" s="149" t="n">
        <x:f>D41*C41</x:f>
        <x:v>2396634.24</x:v>
      </x:c>
      <x:c r="F41" s="152" t="n">
        <x:f>'Vehicle Classes'!R12</x:f>
        <x:v>178169.4464560625</x:v>
      </x:c>
      <x:c r="G41" s="155" t="n">
        <x:f>'Vehicle Classes'!S12</x:f>
        <x:v>1.8317751984872668</x:v>
      </x:c>
      <x:c r="H41" s="158" t="n">
        <x:f>'Vehicle Classes'!T12</x:f>
        <x:v>0.07434152591263257</x:v>
      </x:c>
      <x:c r="I41" s="95" t="str">
        <x:f>'Vehicle Classes'!U12</x:f>
        <x:v>44t only where rules allow, especially combined/intermodal transport</x:v>
      </x:c>
      <x:c r="J41" s="95" t="str">
        <x:f>'Vehicle Classes'!V12</x:f>
        <x:v>https://ec.europa.eu/commission/presscorner/detail/en/MEMO_13_329</x:v>
      </x:c>
      <x:c r="K41" s="96" t="str">
        <x:f>'Vehicle Classes'!W12</x:f>
        <x:v>Editable</x:v>
      </x:c>
    </x:row>
    <x:row r="42">
      <x:c r="A42" s="97" t="str">
        <x:f>'Vehicle Classes'!A13</x:f>
        <x:v>EMS / high-capacity 60t</x:v>
      </x:c>
      <x:c r="B42" s="147" t="n">
        <x:f>'Vehicle Classes'!D13</x:f>
        <x:v>38</x:v>
      </x:c>
      <x:c r="C42" s="147" t="n">
        <x:f>'Vehicle Classes'!F13</x:f>
        <x:v>34.2</x:v>
      </x:c>
      <x:c r="D42" s="150" t="n">
        <x:f>'Vehicle Classes'!I13</x:f>
        <x:v>101200</x:v>
      </x:c>
      <x:c r="E42" s="150" t="n">
        <x:f>D42*C42</x:f>
        <x:v>3461040.0000000005</x:v>
      </x:c>
      <x:c r="F42" s="153" t="n">
        <x:f>'Vehicle Classes'!R13</x:f>
        <x:v>226940.89934375</x:v>
      </x:c>
      <x:c r="G42" s="156" t="n">
        <x:f>'Vehicle Classes'!S13</x:f>
        <x:v>2.242499005373024</x:v>
      </x:c>
      <x:c r="H42" s="159" t="n">
        <x:f>'Vehicle Classes'!T13</x:f>
        <x:v>0.06557014635593636</x:v>
      </x:c>
      <x:c r="I42" s="98" t="str">
        <x:f>'Vehicle Classes'!U13</x:f>
        <x:v>Not universal EU-wide; EMS/high-capacity combinations are country/route dependent</x:v>
      </x:c>
      <x:c r="J42" s="98" t="str">
        <x:f>'Vehicle Classes'!V13</x:f>
        <x:v>https://transport.ec.europa.eu/document/download/45e1073e-373a-4156-966b-0523915dec9f_en?filename=SWD_2023_70_implementation_report_amendments_dir_96_53.pdf</x:v>
      </x:c>
      <x:c r="K42" s="99" t="str">
        <x:f>'Vehicle Classes'!W13</x:f>
        <x:v>Editable</x:v>
      </x:c>
    </x:row>
    <x:row r="45">
      <x:c r="A45" s="143" t="str">
        <x:v>Payload utilisation matrix - break-even EUR per tonne-km</x:v>
      </x:c>
      <x:c r="B45" s="143"/>
      <x:c r="C45" s="143"/>
      <x:c r="D45" s="143"/>
      <x:c r="E45" s="143"/>
      <x:c r="F45" s="143"/>
      <x:c r="G45" s="143"/>
      <x:c r="I45" s="143" t="str">
        <x:v>How to read</x:v>
      </x:c>
      <x:c r="J45" s="143"/>
      <x:c r="K45" s="143"/>
    </x:row>
    <x:row r="46" ht="30" customHeight="1">
      <x:c r="A46" s="67" t="str">
        <x:v>The same truck becomes materially more expensive per tonne-km when it runs below payload potential. This matrix isolates that effect while holding loaded km and annual cost constant by vehicle type.</x:v>
      </x:c>
      <x:c r="B46" s="67"/>
      <x:c r="C46" s="67"/>
      <x:c r="D46" s="67"/>
      <x:c r="E46" s="67"/>
      <x:c r="F46" s="67"/>
      <x:c r="G46" s="67"/>
      <x:c r="I46" s="82" t="str">
        <x:v>Full-truck pricing</x:v>
      </x:c>
      <x:c r="J46" s="83" t="str">
        <x:v>Use EUR/loaded km</x:v>
      </x:c>
      <x:c r="K46" s="84" t="str">
        <x:v>Best for dedicated FTL movement.</x:v>
      </x:c>
    </x:row>
    <x:row r="47" ht="30" customHeight="1">
      <x:c r="I47" s="85" t="str">
        <x:v>Commodity density pricing</x:v>
      </x:c>
      <x:c r="J47" s="86" t="str">
        <x:v>Use EUR/tonne-km</x:v>
      </x:c>
      <x:c r="K47" s="87" t="str">
        <x:v>Best when payload tonnes are the constraint.</x:v>
      </x:c>
    </x:row>
    <x:row r="48" ht="30" customHeight="1">
      <x:c r="A48" s="144" t="str">
        <x:v>Vehicle class</x:v>
      </x:c>
      <x:c r="B48" s="160" t="n">
        <x:v>0.5</x:v>
      </x:c>
      <x:c r="C48" s="160" t="n">
        <x:v>0.65</x:v>
      </x:c>
      <x:c r="D48" s="160" t="n">
        <x:v>0.8</x:v>
      </x:c>
      <x:c r="E48" s="160" t="n">
        <x:v>0.9</x:v>
      </x:c>
      <x:c r="F48" s="160" t="n">
        <x:v>1</x:v>
      </x:c>
      <x:c r="G48" s="144" t="str">
        <x:v>Base payload util.</x:v>
      </x:c>
      <x:c r="I48" s="85" t="str">
        <x:v>Underloaded risk</x:v>
      </x:c>
      <x:c r="J48" s="86" t="str">
        <x:v>Compare 50%-80% columns</x:v>
      </x:c>
      <x:c r="K48" s="87" t="str">
        <x:v>Shows break-even damage from low utilisation.</x:v>
      </x:c>
    </x:row>
    <x:row r="49" ht="30" customHeight="1">
      <x:c r="A49" s="73" t="str">
        <x:f>'Vehicle Classes'!A5</x:f>
        <x:v>Small van</x:v>
      </x:c>
      <x:c r="B49" s="161" t="n">
        <x:f>IFERROR('Vehicle Classes'!$R5/('Vehicle Classes'!$I5*('Vehicle Classes'!$D5*B$48)),"")</x:f>
        <x:v>3.169847501157408</x:v>
      </x:c>
      <x:c r="C49" s="161" t="n">
        <x:f>IFERROR('Vehicle Classes'!$R5/('Vehicle Classes'!$I5*('Vehicle Classes'!$D5*C$48)),"")</x:f>
        <x:v>2.4383442316595443</x:v>
      </x:c>
      <x:c r="D49" s="161" t="n">
        <x:f>IFERROR('Vehicle Classes'!$R5/('Vehicle Classes'!$I5*('Vehicle Classes'!$D5*D$48)),"")</x:f>
        <x:v>1.9811546882233797</x:v>
      </x:c>
      <x:c r="E49" s="161" t="n">
        <x:f>IFERROR('Vehicle Classes'!$R5/('Vehicle Classes'!$I5*('Vehicle Classes'!$D5*E$48)),"")</x:f>
        <x:v>1.761026389531893</x:v>
      </x:c>
      <x:c r="F49" s="161" t="n">
        <x:f>IFERROR('Vehicle Classes'!$R5/('Vehicle Classes'!$I5*('Vehicle Classes'!$D5*F$48)),"")</x:f>
        <x:v>1.584923750578704</x:v>
      </x:c>
      <x:c r="G49" s="164" t="n">
        <x:f>'Vehicle Classes'!E5</x:f>
        <x:v>0.75</x:v>
      </x:c>
      <x:c r="I49" s="88" t="str">
        <x:v>High-capacity trucks</x:v>
      </x:c>
      <x:c r="J49" s="89" t="str">
        <x:v>Check availability note</x:v>
      </x:c>
      <x:c r="K49" s="90" t="str">
        <x:v>EMS/60t is not universally allowed.</x:v>
      </x:c>
    </x:row>
    <x:row r="50">
      <x:c r="A50" s="76" t="str">
        <x:f>'Vehicle Classes'!A6</x:f>
        <x:v>Large van 3.5t</x:v>
      </x:c>
      <x:c r="B50" s="162" t="n">
        <x:f>IFERROR('Vehicle Classes'!$R6/('Vehicle Classes'!$I6*('Vehicle Classes'!$D6*B$48)),"")</x:f>
        <x:v>1.6233139332264956</x:v>
      </x:c>
      <x:c r="C50" s="162" t="n">
        <x:f>IFERROR('Vehicle Classes'!$R6/('Vehicle Classes'!$I6*('Vehicle Classes'!$D6*C$48)),"")</x:f>
        <x:v>1.2487030255588427</x:v>
      </x:c>
      <x:c r="D50" s="162" t="n">
        <x:f>IFERROR('Vehicle Classes'!$R6/('Vehicle Classes'!$I6*('Vehicle Classes'!$D6*D$48)),"")</x:f>
        <x:v>1.0145712082665597</x:v>
      </x:c>
      <x:c r="E50" s="162" t="n">
        <x:f>IFERROR('Vehicle Classes'!$R6/('Vehicle Classes'!$I6*('Vehicle Classes'!$D6*E$48)),"")</x:f>
        <x:v>0.9018410740147198</x:v>
      </x:c>
      <x:c r="F50" s="162" t="n">
        <x:f>IFERROR('Vehicle Classes'!$R6/('Vehicle Classes'!$I6*('Vehicle Classes'!$D6*F$48)),"")</x:f>
        <x:v>0.8116569666132478</x:v>
      </x:c>
      <x:c r="G50" s="165" t="n">
        <x:f>'Vehicle Classes'!E6</x:f>
        <x:v>0.75</x:v>
      </x:c>
    </x:row>
    <x:row r="51">
      <x:c r="A51" s="76" t="str">
        <x:f>'Vehicle Classes'!A7</x:f>
        <x:v>Light truck 7.5t</x:v>
      </x:c>
      <x:c r="B51" s="162" t="n">
        <x:f>IFERROR('Vehicle Classes'!$R7/('Vehicle Classes'!$I7*('Vehicle Classes'!$D7*B$48)),"")</x:f>
        <x:v>1.0685591923809525</x:v>
      </x:c>
      <x:c r="C51" s="162" t="n">
        <x:f>IFERROR('Vehicle Classes'!$R7/('Vehicle Classes'!$I7*('Vehicle Classes'!$D7*C$48)),"")</x:f>
        <x:v>0.8219686095238096</x:v>
      </x:c>
      <x:c r="D51" s="162" t="n">
        <x:f>IFERROR('Vehicle Classes'!$R7/('Vehicle Classes'!$I7*('Vehicle Classes'!$D7*D$48)),"")</x:f>
        <x:v>0.6678494952380951</x:v>
      </x:c>
      <x:c r="E51" s="162" t="n">
        <x:f>IFERROR('Vehicle Classes'!$R7/('Vehicle Classes'!$I7*('Vehicle Classes'!$D7*E$48)),"")</x:f>
        <x:v>0.5936439957671958</x:v>
      </x:c>
      <x:c r="F51" s="162" t="n">
        <x:f>IFERROR('Vehicle Classes'!$R7/('Vehicle Classes'!$I7*('Vehicle Classes'!$D7*F$48)),"")</x:f>
        <x:v>0.5342795961904763</x:v>
      </x:c>
      <x:c r="G51" s="165" t="n">
        <x:f>'Vehicle Classes'!E7</x:f>
        <x:v>0.8</x:v>
      </x:c>
    </x:row>
    <x:row r="52">
      <x:c r="A52" s="76" t="str">
        <x:f>'Vehicle Classes'!A8</x:f>
        <x:v>Medium rigid 12t</x:v>
      </x:c>
      <x:c r="B52" s="162" t="n">
        <x:f>IFERROR('Vehicle Classes'!$R8/('Vehicle Classes'!$I8*('Vehicle Classes'!$D8*B$48)),"")</x:f>
        <x:v>0.7311604348290598</x:v>
      </x:c>
      <x:c r="C52" s="162" t="n">
        <x:f>IFERROR('Vehicle Classes'!$R8/('Vehicle Classes'!$I8*('Vehicle Classes'!$D8*C$48)),"")</x:f>
        <x:v>0.5624311037146613</x:v>
      </x:c>
      <x:c r="D52" s="162" t="n">
        <x:f>IFERROR('Vehicle Classes'!$R8/('Vehicle Classes'!$I8*('Vehicle Classes'!$D8*D$48)),"")</x:f>
        <x:v>0.45697527176816227</x:v>
      </x:c>
      <x:c r="E52" s="162" t="n">
        <x:f>IFERROR('Vehicle Classes'!$R8/('Vehicle Classes'!$I8*('Vehicle Classes'!$D8*E$48)),"")</x:f>
        <x:v>0.40620024157169987</x:v>
      </x:c>
      <x:c r="F52" s="162" t="n">
        <x:f>IFERROR('Vehicle Classes'!$R8/('Vehicle Classes'!$I8*('Vehicle Classes'!$D8*F$48)),"")</x:f>
        <x:v>0.3655802174145299</x:v>
      </x:c>
      <x:c r="G52" s="165" t="n">
        <x:f>'Vehicle Classes'!E8</x:f>
        <x:v>0.82</x:v>
      </x:c>
    </x:row>
    <x:row r="53">
      <x:c r="A53" s="76" t="str">
        <x:f>'Vehicle Classes'!A9</x:f>
        <x:v>Rigid truck 18t</x:v>
      </x:c>
      <x:c r="B53" s="162" t="n">
        <x:f>IFERROR('Vehicle Classes'!$R9/('Vehicle Classes'!$I9*('Vehicle Classes'!$D9*B$48)),"")</x:f>
        <x:v>0.5525940854370915</x:v>
      </x:c>
      <x:c r="C53" s="162" t="n">
        <x:f>IFERROR('Vehicle Classes'!$R9/('Vehicle Classes'!$I9*('Vehicle Classes'!$D9*C$48)),"")</x:f>
        <x:v>0.42507237341314724</x:v>
      </x:c>
      <x:c r="D53" s="162" t="n">
        <x:f>IFERROR('Vehicle Classes'!$R9/('Vehicle Classes'!$I9*('Vehicle Classes'!$D9*D$48)),"")</x:f>
        <x:v>0.3453713033981822</x:v>
      </x:c>
      <x:c r="E53" s="162" t="n">
        <x:f>IFERROR('Vehicle Classes'!$R9/('Vehicle Classes'!$I9*('Vehicle Classes'!$D9*E$48)),"")</x:f>
        <x:v>0.3069967141317175</x:v>
      </x:c>
      <x:c r="F53" s="162" t="n">
        <x:f>IFERROR('Vehicle Classes'!$R9/('Vehicle Classes'!$I9*('Vehicle Classes'!$D9*F$48)),"")</x:f>
        <x:v>0.27629704271854577</x:v>
      </x:c>
      <x:c r="G53" s="165" t="n">
        <x:f>'Vehicle Classes'!E9</x:f>
        <x:v>0.85</x:v>
      </x:c>
    </x:row>
    <x:row r="54">
      <x:c r="A54" s="76" t="str">
        <x:f>'Vehicle Classes'!A10</x:f>
        <x:v>Rigid truck 26t</x:v>
      </x:c>
      <x:c r="B54" s="162" t="n">
        <x:f>IFERROR('Vehicle Classes'!$R10/('Vehicle Classes'!$I10*('Vehicle Classes'!$D10*B$48)),"")</x:f>
        <x:v>0.39355040076945413</x:v>
      </x:c>
      <x:c r="C54" s="162" t="n">
        <x:f>IFERROR('Vehicle Classes'!$R10/('Vehicle Classes'!$I10*('Vehicle Classes'!$D10*C$48)),"")</x:f>
        <x:v>0.30273107751496475</x:v>
      </x:c>
      <x:c r="D54" s="162" t="n">
        <x:f>IFERROR('Vehicle Classes'!$R10/('Vehicle Classes'!$I10*('Vehicle Classes'!$D10*D$48)),"")</x:f>
        <x:v>0.2459690004809088</x:v>
      </x:c>
      <x:c r="E54" s="162" t="n">
        <x:f>IFERROR('Vehicle Classes'!$R10/('Vehicle Classes'!$I10*('Vehicle Classes'!$D10*E$48)),"")</x:f>
        <x:v>0.21863911153858565</x:v>
      </x:c>
      <x:c r="F54" s="162" t="n">
        <x:f>IFERROR('Vehicle Classes'!$R10/('Vehicle Classes'!$I10*('Vehicle Classes'!$D10*F$48)),"")</x:f>
        <x:v>0.19677520038472707</x:v>
      </x:c>
      <x:c r="G54" s="165" t="n">
        <x:f>'Vehicle Classes'!E10</x:f>
        <x:v>0.85</x:v>
      </x:c>
    </x:row>
    <x:row r="55">
      <x:c r="A55" s="76" t="str">
        <x:f>'Vehicle Classes'!A11</x:f>
        <x:v>Articulated 40t</x:v>
      </x:c>
      <x:c r="B55" s="162" t="n">
        <x:f>IFERROR('Vehicle Classes'!$R11/('Vehicle Classes'!$I11*('Vehicle Classes'!$D11*B$48)),"")</x:f>
        <x:v>0.13313364768296237</x:v>
      </x:c>
      <x:c r="C55" s="162" t="n">
        <x:f>IFERROR('Vehicle Classes'!$R11/('Vehicle Classes'!$I11*('Vehicle Classes'!$D11*C$48)),"")</x:f>
        <x:v>0.10241049821766336</x:v>
      </x:c>
      <x:c r="D55" s="162" t="n">
        <x:f>IFERROR('Vehicle Classes'!$R11/('Vehicle Classes'!$I11*('Vehicle Classes'!$D11*D$48)),"")</x:f>
        <x:v>0.08320852980185148</x:v>
      </x:c>
      <x:c r="E55" s="162" t="n">
        <x:f>IFERROR('Vehicle Classes'!$R11/('Vehicle Classes'!$I11*('Vehicle Classes'!$D11*E$48)),"")</x:f>
        <x:v>0.07396313760164576</x:v>
      </x:c>
      <x:c r="F55" s="162" t="n">
        <x:f>IFERROR('Vehicle Classes'!$R11/('Vehicle Classes'!$I11*('Vehicle Classes'!$D11*F$48)),"")</x:f>
        <x:v>0.06656682384148119</x:v>
      </x:c>
      <x:c r="G55" s="165" t="n">
        <x:f>'Vehicle Classes'!E11</x:f>
        <x:v>0.868</x:v>
      </x:c>
    </x:row>
    <x:row r="56">
      <x:c r="A56" s="76" t="str">
        <x:f>'Vehicle Classes'!A12</x:f>
        <x:v>Articulated 44t</x:v>
      </x:c>
      <x:c r="B56" s="162" t="n">
        <x:f>IFERROR('Vehicle Classes'!$R12/('Vehicle Classes'!$I12*('Vehicle Classes'!$D12*B$48)),"")</x:f>
        <x:v>0.13084108560623334</x:v>
      </x:c>
      <x:c r="C56" s="162" t="n">
        <x:f>IFERROR('Vehicle Classes'!$R12/('Vehicle Classes'!$I12*('Vehicle Classes'!$D12*C$48)),"")</x:f>
        <x:v>0.1006469889278718</x:v>
      </x:c>
      <x:c r="D56" s="162" t="n">
        <x:f>IFERROR('Vehicle Classes'!$R12/('Vehicle Classes'!$I12*('Vehicle Classes'!$D12*D$48)),"")</x:f>
        <x:v>0.08177567850389582</x:v>
      </x:c>
      <x:c r="E56" s="162" t="n">
        <x:f>IFERROR('Vehicle Classes'!$R12/('Vehicle Classes'!$I12*('Vehicle Classes'!$D12*E$48)),"")</x:f>
        <x:v>0.07268949200346297</x:v>
      </x:c>
      <x:c r="F56" s="162" t="n">
        <x:f>IFERROR('Vehicle Classes'!$R12/('Vehicle Classes'!$I12*('Vehicle Classes'!$D12*F$48)),"")</x:f>
        <x:v>0.06542054280311667</x:v>
      </x:c>
      <x:c r="G56" s="165" t="n">
        <x:f>'Vehicle Classes'!E12</x:f>
        <x:v>0.88</x:v>
      </x:c>
    </x:row>
    <x:row r="57">
      <x:c r="A57" s="79" t="str">
        <x:f>'Vehicle Classes'!A13</x:f>
        <x:v>EMS / high-capacity 60t</x:v>
      </x:c>
      <x:c r="B57" s="163" t="n">
        <x:f>IFERROR('Vehicle Classes'!$R13/('Vehicle Classes'!$I13*('Vehicle Classes'!$D13*B$48)),"")</x:f>
        <x:v>0.11802626344068547</x:v>
      </x:c>
      <x:c r="C57" s="163" t="n">
        <x:f>IFERROR('Vehicle Classes'!$R13/('Vehicle Classes'!$I13*('Vehicle Classes'!$D13*C$48)),"")</x:f>
        <x:v>0.09078943341591189</x:v>
      </x:c>
      <x:c r="D57" s="163" t="n">
        <x:f>IFERROR('Vehicle Classes'!$R13/('Vehicle Classes'!$I13*('Vehicle Classes'!$D13*D$48)),"")</x:f>
        <x:v>0.07376641465042841</x:v>
      </x:c>
      <x:c r="E57" s="163" t="n">
        <x:f>IFERROR('Vehicle Classes'!$R13/('Vehicle Classes'!$I13*('Vehicle Classes'!$D13*E$48)),"")</x:f>
        <x:v>0.06557014635593636</x:v>
      </x:c>
      <x:c r="F57" s="163" t="n">
        <x:f>IFERROR('Vehicle Classes'!$R13/('Vehicle Classes'!$I13*('Vehicle Classes'!$D13*F$48)),"")</x:f>
        <x:v>0.05901313172034273</x:v>
      </x:c>
      <x:c r="G57" s="166" t="n">
        <x:f>'Vehicle Classes'!E13</x:f>
        <x:v>0.9</x:v>
      </x:c>
    </x:row>
  </x:sheetData>
  <x:mergeCells>
    <x:mergeCell ref="A1:H1"/>
    <x:mergeCell ref="A31:K31"/>
    <x:mergeCell ref="A32:K32"/>
    <x:mergeCell ref="A45:G45"/>
    <x:mergeCell ref="A46:G46"/>
    <x:mergeCell ref="I45:K45"/>
  </x:mergeCells>
  <x:conditionalFormatting sqref="B6:H12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H34:H42">
    <x:cfRule type="colorScale" priority="2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B49:F57">
    <x:cfRule type="colorScale" priority="3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dataValidations count="1">
    <x:dataValidation type="list" sqref="B2">
      <x:formula1>"Long Distance 40t,Regional 40t"</x:formula1>
    </x:dataValidation>
  </x:dataValidations>
  <x:pageMargins left="0.7" right="0.7" top="0.75" bottom="0.75" header="0.3" footer="0.3"/>
  <x:drawing xmlns:r="http://schemas.openxmlformats.org/officeDocument/2006/relationships" r:id="R1ca2f299b40e443c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.799999237060547" hidden="0" customWidth="1"/>
    <x:col min="3" max="3" width="6.460000038146973" hidden="0" customWidth="1"/>
    <x:col min="4" max="4" width="15.880000114440918" hidden="0" customWidth="1"/>
    <x:col min="5" max="5" width="19.3799991607666" hidden="0" customWidth="1"/>
    <x:col min="6" max="6" width="16.149999618530273" hidden="0" customWidth="1"/>
    <x:col min="7" max="7" width="13.0600004196167" hidden="0" customWidth="1"/>
    <x:col min="8" max="8" width="10.09000015258789" hidden="0" customWidth="1"/>
    <x:col min="9" max="9" width="8.880000114440918" hidden="0" customWidth="1"/>
    <x:col min="10" max="10" width="11.039999961853027" hidden="0" customWidth="1"/>
    <x:col min="11" max="11" width="14.539999961853027" hidden="0" customWidth="1"/>
    <x:col min="12" max="12" width="10.630000114440918" hidden="0" customWidth="1"/>
    <x:col min="13" max="13" width="21.270000457763672" hidden="0" customWidth="1"/>
    <x:col min="14" max="14" width="21.530000686645508" hidden="0" customWidth="1"/>
    <x:col min="15" max="15" width="19.780000686645508" hidden="0" customWidth="1"/>
    <x:col min="16" max="16" width="21.530000686645508" hidden="0" customWidth="1"/>
    <x:col min="17" max="17" width="27.31999969482422" hidden="0" customWidth="1"/>
    <x:col min="18" max="18" width="18.84000015258789" hidden="0" customWidth="1"/>
    <x:col min="19" max="19" width="22.34000015258789" hidden="0" customWidth="1"/>
    <x:col min="20" max="20" width="21.799999237060547" hidden="0" customWidth="1"/>
    <x:col min="21" max="21" width="42" hidden="0" customWidth="1"/>
    <x:col min="22" max="22" width="45" hidden="0" customWidth="1"/>
    <x:col min="23" max="23" width="12.920000076293945" hidden="0" customWidth="1"/>
  </x:cols>
  <x:sheetData>
    <x:row r="1">
      <x:c r="A1" s="64" t="str">
        <x:v>Vehicle capability assumptions for break-even sensitivity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</x:row>
    <x:row r="2" ht="36" customHeight="1">
      <x:c r="A2" s="67" t="str">
        <x:v>Blue numbers are editable assumptions; formula cells calculate effective payload, loaded km, annual cost and break-even price. Validate payload and legal access for actual countries/routes before using commercially.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</x:row>
    <x:row r="4">
      <x:c r="A4" s="72" t="str">
        <x:v>Vehicle class</x:v>
      </x:c>
      <x:c r="B4" s="72" t="str">
        <x:v>Capability band</x:v>
      </x:c>
      <x:c r="C4" s="72" t="str">
        <x:v>GVW (t)</x:v>
      </x:c>
      <x:c r="D4" s="72" t="str">
        <x:v>Payload capacity (t)</x:v>
      </x:c>
      <x:c r="E4" s="72" t="str">
        <x:v>Base payload utilisation</x:v>
      </x:c>
      <x:c r="F4" s="72" t="str">
        <x:v>Effective payload (t)</x:v>
      </x:c>
      <x:c r="G4" s="72" t="str">
        <x:v>Annual total km</x:v>
      </x:c>
      <x:c r="H4" s="72" t="str">
        <x:v>Loaded ratio</x:v>
      </x:c>
      <x:c r="I4" s="72" t="str">
        <x:v>Loaded km</x:v>
      </x:c>
      <x:c r="J4" s="72" t="str">
        <x:v>Fuel L/100km</x:v>
      </x:c>
      <x:c r="K4" s="72" t="str">
        <x:v>Fuel price (EUR/L)</x:v>
      </x:c>
      <x:c r="L4" s="72" t="str">
        <x:v>Fuel EUR/km</x:v>
      </x:c>
      <x:c r="M4" s="72" t="str">
        <x:v>Non-fuel variable EUR/km</x:v>
      </x:c>
      <x:c r="N4" s="72" t="str">
        <x:v>Variable cost annual (EUR)</x:v>
      </x:c>
      <x:c r="O4" s="72" t="str">
        <x:v>Driver annual cost (EUR)</x:v>
      </x:c>
      <x:c r="P4" s="72" t="str">
        <x:v>Fixed vehicle annual (EUR)</x:v>
      </x:c>
      <x:c r="Q4" s="72" t="str">
        <x:v>Structural overhead annual (EUR)</x:v>
      </x:c>
      <x:c r="R4" s="72" t="str">
        <x:v>Total annual cost (EUR)</x:v>
      </x:c>
      <x:c r="S4" s="72" t="str">
        <x:v>Break-even EUR/loaded km</x:v>
      </x:c>
      <x:c r="T4" s="72" t="str">
        <x:v>Break-even EUR/tonne-km</x:v>
      </x:c>
      <x:c r="U4" s="72" t="str">
        <x:v>Availability / validation note</x:v>
      </x:c>
      <x:c r="V4" s="72" t="str">
        <x:v>Source URL</x:v>
      </x:c>
      <x:c r="W4" s="72" t="str">
        <x:v>Input/data type</x:v>
      </x:c>
    </x:row>
    <x:row r="5">
      <x:c r="A5" s="91" t="str">
        <x:v>Small van</x:v>
      </x:c>
      <x:c r="B5" s="92" t="str">
        <x:v>Urban / light delivery</x:v>
      </x:c>
      <x:c r="C5" s="109" t="n">
        <x:v>3.5</x:v>
      </x:c>
      <x:c r="D5" s="109" t="n">
        <x:v>1.2</x:v>
      </x:c>
      <x:c r="E5" s="112" t="n">
        <x:v>0.75</x:v>
      </x:c>
      <x:c r="F5" s="115" t="n">
        <x:f>D5*E5</x:f>
        <x:v>0.8999999999999999</x:v>
      </x:c>
      <x:c r="G5" s="118" t="n">
        <x:v>45000</x:v>
      </x:c>
      <x:c r="H5" s="112" t="n">
        <x:v>0.7</x:v>
      </x:c>
      <x:c r="I5" s="119" t="n">
        <x:f>G5*H5</x:f>
        <x:v>31499.999999999996</x:v>
      </x:c>
      <x:c r="J5" s="109" t="n">
        <x:v>9.5</x:v>
      </x:c>
      <x:c r="K5" s="124" t="n">
        <x:f>'Inputs'!$C$11</x:f>
        <x:v>1.265524625</x:v>
      </x:c>
      <x:c r="L5" s="125" t="n">
        <x:f>J5/100*K5</x:f>
        <x:v>0.120224839375</x:v>
      </x:c>
      <x:c r="M5" s="130" t="n">
        <x:v>0.1</x:v>
      </x:c>
      <x:c r="N5" s="133" t="n">
        <x:f>(L5+M5)*G5</x:f>
        <x:v>9910.117771875</x:v>
      </x:c>
      <x:c r="O5" s="134" t="n">
        <x:v>32000</x:v>
      </x:c>
      <x:c r="P5" s="134" t="n">
        <x:v>12000</x:v>
      </x:c>
      <x:c r="Q5" s="134" t="n">
        <x:v>6000</x:v>
      </x:c>
      <x:c r="R5" s="133" t="n">
        <x:f>N5+O5+P5+Q5</x:f>
        <x:v>59910.117771875</x:v>
      </x:c>
      <x:c r="S5" s="125" t="n">
        <x:f>IFERROR(R5/I5,"")</x:f>
        <x:v>1.9019085006944445</x:v>
      </x:c>
      <x:c r="T5" s="139" t="n">
        <x:f>IFERROR(R5/(I5*F5),"")</x:f>
        <x:v>2.113231667438272</x:v>
      </x:c>
      <x:c r="U5" s="92" t="str">
        <x:v>Model assumption; validate payload against actual van spec</x:v>
      </x:c>
      <x:c r="V5" s="92" t="str">
        <x:v>https://climate.ec.europa.eu/system/files/2017-03/hdv_lightweighting_en.pdf</x:v>
      </x:c>
      <x:c r="W5" s="93" t="str">
        <x:v>Editable</x:v>
      </x:c>
    </x:row>
    <x:row r="6">
      <x:c r="A6" s="94" t="str">
        <x:v>Large van 3.5t</x:v>
      </x:c>
      <x:c r="B6" s="95" t="str">
        <x:v>Van / courier</x:v>
      </x:c>
      <x:c r="C6" s="110" t="n">
        <x:v>3.5</x:v>
      </x:c>
      <x:c r="D6" s="110" t="n">
        <x:v>2</x:v>
      </x:c>
      <x:c r="E6" s="113" t="n">
        <x:v>0.75</x:v>
      </x:c>
      <x:c r="F6" s="116" t="n">
        <x:f>D6*E6</x:f>
        <x:v>1.5</x:v>
      </x:c>
      <x:c r="G6" s="120" t="n">
        <x:v>65000</x:v>
      </x:c>
      <x:c r="H6" s="113" t="n">
        <x:v>0.72</x:v>
      </x:c>
      <x:c r="I6" s="121" t="n">
        <x:f>G6*H6</x:f>
        <x:v>46800</x:v>
      </x:c>
      <x:c r="J6" s="110" t="n">
        <x:v>12</x:v>
      </x:c>
      <x:c r="K6" s="126" t="n">
        <x:f>'Inputs'!$C$11</x:f>
        <x:v>1.265524625</x:v>
      </x:c>
      <x:c r="L6" s="127" t="n">
        <x:f>J6/100*K6</x:f>
        <x:v>0.151862955</x:v>
      </x:c>
      <x:c r="M6" s="131" t="n">
        <x:v>0.14</x:v>
      </x:c>
      <x:c r="N6" s="135" t="n">
        <x:f>(L6+M6)*G6</x:f>
        <x:v>18971.092075</x:v>
      </x:c>
      <x:c r="O6" s="136" t="n">
        <x:v>34000</x:v>
      </x:c>
      <x:c r="P6" s="136" t="n">
        <x:v>16000</x:v>
      </x:c>
      <x:c r="Q6" s="136" t="n">
        <x:v>7000</x:v>
      </x:c>
      <x:c r="R6" s="135" t="n">
        <x:f>N6+O6+P6+Q6</x:f>
        <x:v>75971.092075</x:v>
      </x:c>
      <x:c r="S6" s="127" t="n">
        <x:f>IFERROR(R6/I6,"")</x:f>
        <x:v>1.6233139332264956</x:v>
      </x:c>
      <x:c r="T6" s="140" t="n">
        <x:f>IFERROR(R6/(I6*F6),"")</x:f>
        <x:v>1.0822092888176638</x:v>
      </x:c>
      <x:c r="U6" s="95" t="str">
        <x:v>3.5t GVW large van; payload can reach about 2t depending on body/spec</x:v>
      </x:c>
      <x:c r="V6" s="95" t="str">
        <x:v>https://climate.ec.europa.eu/system/files/2017-03/hdv_lightweighting_en.pdf</x:v>
      </x:c>
      <x:c r="W6" s="96" t="str">
        <x:v>Editable</x:v>
      </x:c>
    </x:row>
    <x:row r="7">
      <x:c r="A7" s="94" t="str">
        <x:v>Light truck 7.5t</x:v>
      </x:c>
      <x:c r="B7" s="95" t="str">
        <x:v>Small rigid</x:v>
      </x:c>
      <x:c r="C7" s="110" t="n">
        <x:v>7.5</x:v>
      </x:c>
      <x:c r="D7" s="110" t="n">
        <x:v>3.5</x:v>
      </x:c>
      <x:c r="E7" s="113" t="n">
        <x:v>0.8</x:v>
      </x:c>
      <x:c r="F7" s="116" t="n">
        <x:f>D7*E7</x:f>
        <x:v>2.8000000000000003</x:v>
      </x:c>
      <x:c r="G7" s="120" t="n">
        <x:v>75000</x:v>
      </x:c>
      <x:c r="H7" s="113" t="n">
        <x:v>0.75</x:v>
      </x:c>
      <x:c r="I7" s="121" t="n">
        <x:f>G7*H7</x:f>
        <x:v>56250</x:v>
      </x:c>
      <x:c r="J7" s="110" t="n">
        <x:v>16</x:v>
      </x:c>
      <x:c r="K7" s="126" t="n">
        <x:f>'Inputs'!$C$11</x:f>
        <x:v>1.265524625</x:v>
      </x:c>
      <x:c r="L7" s="127" t="n">
        <x:f>J7/100*K7</x:f>
        <x:v>0.20248394000000003</x:v>
      </x:c>
      <x:c r="M7" s="131" t="n">
        <x:v>0.2</x:v>
      </x:c>
      <x:c r="N7" s="135" t="n">
        <x:f>(L7+M7)*G7</x:f>
        <x:v>30186.295500000004</x:v>
      </x:c>
      <x:c r="O7" s="136" t="n">
        <x:v>40000</x:v>
      </x:c>
      <x:c r="P7" s="136" t="n">
        <x:v>25000</x:v>
      </x:c>
      <x:c r="Q7" s="136" t="n">
        <x:v>10000</x:v>
      </x:c>
      <x:c r="R7" s="135" t="n">
        <x:f>N7+O7+P7+Q7</x:f>
        <x:v>105186.29550000001</x:v>
      </x:c>
      <x:c r="S7" s="127" t="n">
        <x:f>IFERROR(R7/I7,"")</x:f>
        <x:v>1.8699785866666667</x:v>
      </x:c>
      <x:c r="T7" s="140" t="n">
        <x:f>IFERROR(R7/(I7*F7),"")</x:f>
        <x:v>0.6678494952380951</x:v>
      </x:c>
      <x:c r="U7" s="95" t="str">
        <x:v>Operational class assumption; validate by vehicle body and national rules</x:v>
      </x:c>
      <x:c r="V7" s="95" t="str"/>
      <x:c r="W7" s="96" t="str">
        <x:v>Editable</x:v>
      </x:c>
    </x:row>
    <x:row r="8">
      <x:c r="A8" s="94" t="str">
        <x:v>Medium rigid 12t</x:v>
      </x:c>
      <x:c r="B8" s="95" t="str">
        <x:v>Rigid truck</x:v>
      </x:c>
      <x:c r="C8" s="110" t="n">
        <x:v>12</x:v>
      </x:c>
      <x:c r="D8" s="110" t="n">
        <x:v>6</x:v>
      </x:c>
      <x:c r="E8" s="113" t="n">
        <x:v>0.82</x:v>
      </x:c>
      <x:c r="F8" s="116" t="n">
        <x:f>D8*E8</x:f>
        <x:v>4.92</x:v>
      </x:c>
      <x:c r="G8" s="120" t="n">
        <x:v>80000</x:v>
      </x:c>
      <x:c r="H8" s="113" t="n">
        <x:v>0.78</x:v>
      </x:c>
      <x:c r="I8" s="121" t="n">
        <x:f>G8*H8</x:f>
        <x:v>62400</x:v>
      </x:c>
      <x:c r="J8" s="110" t="n">
        <x:v>22</x:v>
      </x:c>
      <x:c r="K8" s="126" t="n">
        <x:f>'Inputs'!$C$11</x:f>
        <x:v>1.265524625</x:v>
      </x:c>
      <x:c r="L8" s="127" t="n">
        <x:f>J8/100*K8</x:f>
        <x:v>0.27841541750000004</x:v>
      </x:c>
      <x:c r="M8" s="131" t="n">
        <x:v>0.27</x:v>
      </x:c>
      <x:c r="N8" s="135" t="n">
        <x:f>(L8+M8)*G8</x:f>
        <x:v>43873.2334</x:v>
      </x:c>
      <x:c r="O8" s="136" t="n">
        <x:v>43000</x:v>
      </x:c>
      <x:c r="P8" s="136" t="n">
        <x:v>38000</x:v>
      </x:c>
      <x:c r="Q8" s="136" t="n">
        <x:v>12000</x:v>
      </x:c>
      <x:c r="R8" s="135" t="n">
        <x:f>N8+O8+P8+Q8</x:f>
        <x:v>136873.2334</x:v>
      </x:c>
      <x:c r="S8" s="127" t="n">
        <x:f>IFERROR(R8/I8,"")</x:f>
        <x:v>2.1934813044871793</x:v>
      </x:c>
      <x:c r="T8" s="140" t="n">
        <x:f>IFERROR(R8/(I8*F8),"")</x:f>
        <x:v>0.44582953343235354</x:v>
      </x:c>
      <x:c r="U8" s="95" t="str">
        <x:v>Operational class assumption; payload depends on body and axle setup</x:v>
      </x:c>
      <x:c r="V8" s="95" t="str"/>
      <x:c r="W8" s="96" t="str">
        <x:v>Editable</x:v>
      </x:c>
    </x:row>
    <x:row r="9">
      <x:c r="A9" s="94" t="str">
        <x:v>Rigid truck 18t</x:v>
      </x:c>
      <x:c r="B9" s="95" t="str">
        <x:v>Rigid truck</x:v>
      </x:c>
      <x:c r="C9" s="110" t="n">
        <x:v>18</x:v>
      </x:c>
      <x:c r="D9" s="110" t="n">
        <x:v>9</x:v>
      </x:c>
      <x:c r="E9" s="113" t="n">
        <x:v>0.85</x:v>
      </x:c>
      <x:c r="F9" s="116" t="n">
        <x:f>D9*E9</x:f>
        <x:v>7.6499999999999995</x:v>
      </x:c>
      <x:c r="G9" s="120" t="n">
        <x:v>85000</x:v>
      </x:c>
      <x:c r="H9" s="113" t="n">
        <x:v>0.8</x:v>
      </x:c>
      <x:c r="I9" s="121" t="n">
        <x:f>G9*H9</x:f>
        <x:v>68000</x:v>
      </x:c>
      <x:c r="J9" s="110" t="n">
        <x:v>27</x:v>
      </x:c>
      <x:c r="K9" s="126" t="n">
        <x:f>'Inputs'!$C$11</x:f>
        <x:v>1.265524625</x:v>
      </x:c>
      <x:c r="L9" s="127" t="n">
        <x:f>J9/100*K9</x:f>
        <x:v>0.34169164875</x:v>
      </x:c>
      <x:c r="M9" s="131" t="n">
        <x:v>0.33</x:v>
      </x:c>
      <x:c r="N9" s="135" t="n">
        <x:f>(L9+M9)*G9</x:f>
        <x:v>57093.79014375</x:v>
      </x:c>
      <x:c r="O9" s="136" t="n">
        <x:v>46000</x:v>
      </x:c>
      <x:c r="P9" s="136" t="n">
        <x:v>52000</x:v>
      </x:c>
      <x:c r="Q9" s="136" t="n">
        <x:v>14000</x:v>
      </x:c>
      <x:c r="R9" s="135" t="n">
        <x:f>N9+O9+P9+Q9</x:f>
        <x:v>169093.79014375</x:v>
      </x:c>
      <x:c r="S9" s="127" t="n">
        <x:f>IFERROR(R9/I9,"")</x:f>
        <x:v>2.4866733844669118</x:v>
      </x:c>
      <x:c r="T9" s="140" t="n">
        <x:f>IFERROR(R9/(I9*F9),"")</x:f>
        <x:v>0.32505534437475975</x:v>
      </x:c>
      <x:c r="U9" s="95" t="str">
        <x:v>Operational class assumption; common distribution/retail class</x:v>
      </x:c>
      <x:c r="V9" s="95" t="str"/>
      <x:c r="W9" s="96" t="str">
        <x:v>Editable</x:v>
      </x:c>
    </x:row>
    <x:row r="10">
      <x:c r="A10" s="94" t="str">
        <x:v>Rigid truck 26t</x:v>
      </x:c>
      <x:c r="B10" s="95" t="str">
        <x:v>Heavy rigid</x:v>
      </x:c>
      <x:c r="C10" s="110" t="n">
        <x:v>26</x:v>
      </x:c>
      <x:c r="D10" s="110" t="n">
        <x:v>14</x:v>
      </x:c>
      <x:c r="E10" s="113" t="n">
        <x:v>0.85</x:v>
      </x:c>
      <x:c r="F10" s="116" t="n">
        <x:f>D10*E10</x:f>
        <x:v>11.9</x:v>
      </x:c>
      <x:c r="G10" s="120" t="n">
        <x:v>90000</x:v>
      </x:c>
      <x:c r="H10" s="113" t="n">
        <x:v>0.82</x:v>
      </x:c>
      <x:c r="I10" s="121" t="n">
        <x:f>G10*H10</x:f>
        <x:v>73800</x:v>
      </x:c>
      <x:c r="J10" s="110" t="n">
        <x:v>31</x:v>
      </x:c>
      <x:c r="K10" s="126" t="n">
        <x:f>'Inputs'!$C$11</x:f>
        <x:v>1.265524625</x:v>
      </x:c>
      <x:c r="L10" s="127" t="n">
        <x:f>J10/100*K10</x:f>
        <x:v>0.39231263375000003</x:v>
      </x:c>
      <x:c r="M10" s="131" t="n">
        <x:v>0.4</x:v>
      </x:c>
      <x:c r="N10" s="135" t="n">
        <x:f>(L10+M10)*G10</x:f>
        <x:v>71308.13703750001</x:v>
      </x:c>
      <x:c r="O10" s="136" t="n">
        <x:v>48000</x:v>
      </x:c>
      <x:c r="P10" s="136" t="n">
        <x:v>68000</x:v>
      </x:c>
      <x:c r="Q10" s="136" t="n">
        <x:v>16000</x:v>
      </x:c>
      <x:c r="R10" s="135" t="n">
        <x:f>N10+O10+P10+Q10</x:f>
        <x:v>203308.1370375</x:v>
      </x:c>
      <x:c r="S10" s="127" t="n">
        <x:f>IFERROR(R10/I10,"")</x:f>
        <x:v>2.754852805386179</x:v>
      </x:c>
      <x:c r="T10" s="140" t="n">
        <x:f>IFERROR(R10/(I10*F10),"")</x:f>
        <x:v>0.23150023574673773</x:v>
      </x:c>
      <x:c r="U10" s="95" t="str">
        <x:v>Operational class assumption; common 3-axle heavy rigid class</x:v>
      </x:c>
      <x:c r="V10" s="95" t="str"/>
      <x:c r="W10" s="96" t="str">
        <x:v>Editable</x:v>
      </x:c>
    </x:row>
    <x:row r="11">
      <x:c r="A11" s="94" t="str">
        <x:v>Articulated 40t</x:v>
      </x:c>
      <x:c r="B11" s="95" t="str">
        <x:v>Standard heavy artic</x:v>
      </x:c>
      <x:c r="C11" s="110" t="n">
        <x:v>40</x:v>
      </x:c>
      <x:c r="D11" s="110" t="n">
        <x:v>24</x:v>
      </x:c>
      <x:c r="E11" s="113" t="n">
        <x:v>0.868</x:v>
      </x:c>
      <x:c r="F11" s="116" t="n">
        <x:f>D11*E11</x:f>
        <x:v>20.832</x:v>
      </x:c>
      <x:c r="G11" s="120" t="n">
        <x:v>113100</x:v>
      </x:c>
      <x:c r="H11" s="113" t="n">
        <x:v>0.853</x:v>
      </x:c>
      <x:c r="I11" s="121" t="n">
        <x:f>G11*H11</x:f>
        <x:v>96474.3</x:v>
      </x:c>
      <x:c r="J11" s="110" t="n">
        <x:v>34.2</x:v>
      </x:c>
      <x:c r="K11" s="126" t="n">
        <x:f>'Inputs'!$C$11</x:f>
        <x:v>1.265524625</x:v>
      </x:c>
      <x:c r="L11" s="127" t="n">
        <x:f>J11/100*K11</x:f>
        <x:v>0.43280942175000003</x:v>
      </x:c>
      <x:c r="M11" s="131" t="n">
        <x:v>0.1716</x:v>
      </x:c>
      <x:c r="N11" s="135" t="n">
        <x:f>(L11+M11)*G11</x:f>
        <x:v>68358.705599925</x:v>
      </x:c>
      <x:c r="O11" s="136" t="n">
        <x:v>49674</x:v>
      </x:c>
      <x:c r="P11" s="136" t="n">
        <x:v>36095</x:v>
      </x:c>
      <x:c r="Q11" s="136" t="n">
        <x:v>0</x:v>
      </x:c>
      <x:c r="R11" s="135" t="n">
        <x:f>N11+O11+P11+Q11</x:f>
        <x:v>154127.70559992502</x:v>
      </x:c>
      <x:c r="S11" s="127" t="n">
        <x:f>IFERROR(R11/I11,"")</x:f>
        <x:v>1.5976037721955485</x:v>
      </x:c>
      <x:c r="T11" s="140" t="n">
        <x:f>IFERROR(R11/(I11*F11),"")</x:f>
        <x:v>0.0766898892182963</x:v>
      </x:c>
      <x:c r="U11" s="95" t="str">
        <x:v>Standard EU heavy-goods reference class; original model anchor</x:v>
      </x:c>
      <x:c r="V11" s="95" t="str">
        <x:v>https://ec.europa.eu/commission/presscorner/detail/en/MEMO_13_329</x:v>
      </x:c>
      <x:c r="W11" s="96" t="str">
        <x:v>Editable</x:v>
      </x:c>
    </x:row>
    <x:row r="12">
      <x:c r="A12" s="94" t="str">
        <x:v>Articulated 44t</x:v>
      </x:c>
      <x:c r="B12" s="95" t="str">
        <x:v>Intermodal / heavier permitted artic</x:v>
      </x:c>
      <x:c r="C12" s="110" t="n">
        <x:v>44</x:v>
      </x:c>
      <x:c r="D12" s="110" t="n">
        <x:v>28</x:v>
      </x:c>
      <x:c r="E12" s="113" t="n">
        <x:v>0.88</x:v>
      </x:c>
      <x:c r="F12" s="116" t="n">
        <x:f>D12*E12</x:f>
        <x:v>24.64</x:v>
      </x:c>
      <x:c r="G12" s="120" t="n">
        <x:v>113100</x:v>
      </x:c>
      <x:c r="H12" s="113" t="n">
        <x:v>0.86</x:v>
      </x:c>
      <x:c r="I12" s="121" t="n">
        <x:f>G12*H12</x:f>
        <x:v>97266</x:v>
      </x:c>
      <x:c r="J12" s="110" t="n">
        <x:v>35.5</x:v>
      </x:c>
      <x:c r="K12" s="126" t="n">
        <x:f>'Inputs'!$C$11</x:f>
        <x:v>1.265524625</x:v>
      </x:c>
      <x:c r="L12" s="127" t="n">
        <x:f>J12/100*K12</x:f>
        <x:v>0.449261241875</x:v>
      </x:c>
      <x:c r="M12" s="131" t="n">
        <x:v>0.18</x:v>
      </x:c>
      <x:c r="N12" s="135" t="n">
        <x:f>(L12+M12)*G12</x:f>
        <x:v>71169.4464560625</x:v>
      </x:c>
      <x:c r="O12" s="136" t="n">
        <x:v>50000</x:v>
      </x:c>
      <x:c r="P12" s="136" t="n">
        <x:v>39000</x:v>
      </x:c>
      <x:c r="Q12" s="136" t="n">
        <x:v>18000</x:v>
      </x:c>
      <x:c r="R12" s="135" t="n">
        <x:f>N12+O12+P12+Q12</x:f>
        <x:v>178169.4464560625</x:v>
      </x:c>
      <x:c r="S12" s="127" t="n">
        <x:f>IFERROR(R12/I12,"")</x:f>
        <x:v>1.8317751984872668</x:v>
      </x:c>
      <x:c r="T12" s="140" t="n">
        <x:f>IFERROR(R12/(I12*F12),"")</x:f>
        <x:v>0.07434152591263257</x:v>
      </x:c>
      <x:c r="U12" s="95" t="str">
        <x:v>44t only where rules allow, especially combined/intermodal transport</x:v>
      </x:c>
      <x:c r="V12" s="95" t="str">
        <x:v>https://ec.europa.eu/commission/presscorner/detail/en/MEMO_13_329</x:v>
      </x:c>
      <x:c r="W12" s="96" t="str">
        <x:v>Editable</x:v>
      </x:c>
    </x:row>
    <x:row r="13">
      <x:c r="A13" s="97" t="str">
        <x:v>EMS / high-capacity 60t</x:v>
      </x:c>
      <x:c r="B13" s="98" t="str">
        <x:v>Country/permit dependent EMS</x:v>
      </x:c>
      <x:c r="C13" s="111" t="n">
        <x:v>60</x:v>
      </x:c>
      <x:c r="D13" s="111" t="n">
        <x:v>38</x:v>
      </x:c>
      <x:c r="E13" s="114" t="n">
        <x:v>0.9</x:v>
      </x:c>
      <x:c r="F13" s="117" t="n">
        <x:f>D13*E13</x:f>
        <x:v>34.2</x:v>
      </x:c>
      <x:c r="G13" s="122" t="n">
        <x:v>115000</x:v>
      </x:c>
      <x:c r="H13" s="114" t="n">
        <x:v>0.88</x:v>
      </x:c>
      <x:c r="I13" s="123" t="n">
        <x:f>G13*H13</x:f>
        <x:v>101200</x:v>
      </x:c>
      <x:c r="J13" s="111" t="n">
        <x:v>45</x:v>
      </x:c>
      <x:c r="K13" s="128" t="n">
        <x:f>'Inputs'!$C$11</x:f>
        <x:v>1.265524625</x:v>
      </x:c>
      <x:c r="L13" s="129" t="n">
        <x:f>J13/100*K13</x:f>
        <x:v>0.56948608125</x:v>
      </x:c>
      <x:c r="M13" s="132" t="n">
        <x:v>0.23</x:v>
      </x:c>
      <x:c r="N13" s="137" t="n">
        <x:f>(L13+M13)*G13</x:f>
        <x:v>91940.89934375</x:v>
      </x:c>
      <x:c r="O13" s="138" t="n">
        <x:v>53000</x:v>
      </x:c>
      <x:c r="P13" s="138" t="n">
        <x:v>60000</x:v>
      </x:c>
      <x:c r="Q13" s="138" t="n">
        <x:v>22000</x:v>
      </x:c>
      <x:c r="R13" s="137" t="n">
        <x:f>N13+O13+P13+Q13</x:f>
        <x:v>226940.89934375</x:v>
      </x:c>
      <x:c r="S13" s="129" t="n">
        <x:f>IFERROR(R13/I13,"")</x:f>
        <x:v>2.242499005373024</x:v>
      </x:c>
      <x:c r="T13" s="141" t="n">
        <x:f>IFERROR(R13/(I13*F13),"")</x:f>
        <x:v>0.06557014635593636</x:v>
      </x:c>
      <x:c r="U13" s="98" t="str">
        <x:v>Not universal EU-wide; EMS/high-capacity combinations are country/route dependent</x:v>
      </x:c>
      <x:c r="V13" s="98" t="str">
        <x:v>https://transport.ec.europa.eu/document/download/45e1073e-373a-4156-966b-0523915dec9f_en?filename=SWD_2023_70_implementation_report_amendments_dir_96_53.pdf</x:v>
      </x:c>
      <x:c r="W13" s="99" t="str">
        <x:v>Editable</x:v>
      </x:c>
    </x:row>
    <x:row r="15" ht="30" customHeight="1">
      <x:c r="A15" s="169" t="str">
        <x:v>Note: cost values by truck class are modelling placeholders to make the sensitivity engine work. Replace with actual lease/depreciation, insurance, fuel, toll and driver cost data for commercial decisions.</x:v>
      </x:c>
    </x:row>
  </x:sheetData>
  <x:mergeCells>
    <x:mergeCell ref="A1:W1"/>
    <x:mergeCell ref="A2:W2"/>
    <x:mergeCell ref="A15:W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6" customHeight="1">
      <x:c r="A1" s="185" t="str">
        <x:v>Customer pricing layer after break-even</x:v>
      </x:c>
      <x:c r="B1" s="185"/>
      <x:c r="C1" s="185"/>
      <x:c r="D1" s="185"/>
      <x:c r="E1" s="185"/>
      <x:c r="F1" s="185"/>
      <x:c r="G1" s="185"/>
      <x:c r="H1" s="185"/>
      <x:c r="I1" s="185"/>
    </x:row>
    <x:row r="3">
      <x:c r="A3" s="190" t="str">
        <x:v>Markup over break-even</x:v>
      </x:c>
      <x:c r="B3" s="190" t="str">
        <x:v>LD rate €/loaded km</x:v>
      </x:c>
      <x:c r="C3" s="190" t="str">
        <x:v>LD annual revenue</x:v>
      </x:c>
      <x:c r="D3" s="190" t="str">
        <x:v>LD EBIT</x:v>
      </x:c>
      <x:c r="E3" s="190" t="str">
        <x:v>LD EBIT margin</x:v>
      </x:c>
      <x:c r="F3" s="190" t="str">
        <x:v>Regional rate €/loaded km</x:v>
      </x:c>
      <x:c r="G3" s="190" t="str">
        <x:v>Regional annual revenue</x:v>
      </x:c>
      <x:c r="H3" s="190" t="str">
        <x:v>Regional EBIT</x:v>
      </x:c>
      <x:c r="I3" s="190" t="str">
        <x:v>Regional EBIT margin</x:v>
      </x:c>
      <x:c r="K3" s="214" t="str">
        <x:v>Markup</x:v>
      </x:c>
      <x:c r="L3" s="214" t="str">
        <x:v>LD final rate</x:v>
      </x:c>
      <x:c r="M3" s="214" t="str">
        <x:v>Regional final rate</x:v>
      </x:c>
    </x:row>
    <x:row r="4">
      <x:c r="A4" s="199" t="n">
        <x:v>0</x:v>
      </x:c>
      <x:c r="B4" s="202" t="n">
        <x:f>Engine!$C$62*(1+$A4)</x:f>
        <x:v>1.6224642815256394</x:v>
      </x:c>
      <x:c r="C4" s="54" t="n">
        <x:f>B4*Engine!$C$31</x:f>
        <x:v>156526.105835189</x:v>
      </x:c>
      <x:c r="D4" s="54" t="n">
        <x:f>C4-Engine!$C$60</x:f>
        <x:v>0</x:v>
      </x:c>
      <x:c r="E4" s="199" t="n">
        <x:f>IFERROR(D4/C4,0)</x:f>
        <x:v>0</x:v>
      </x:c>
      <x:c r="F4" s="202" t="n">
        <x:f>Engine!$D$62*(1+$A4)</x:f>
        <x:v>1.7698718224654584</x:v>
      </x:c>
      <x:c r="G4" s="54" t="n">
        <x:f>F4*Engine!$D$31</x:f>
        <x:v>139625.1880743</x:v>
      </x:c>
      <x:c r="H4" s="54" t="n">
        <x:f>G4-Engine!$D$60</x:f>
        <x:v>0</x:v>
      </x:c>
      <x:c r="I4" s="199" t="n">
        <x:f>IFERROR(H4/G4,0)</x:f>
        <x:v>0</x:v>
      </x:c>
      <x:c r="K4" s="199" t="n">
        <x:f>A4</x:f>
        <x:v>0</x:v>
      </x:c>
      <x:c r="L4" s="202" t="n">
        <x:f>B4</x:f>
        <x:v>1.6224642815256394</x:v>
      </x:c>
      <x:c r="M4" s="202" t="n">
        <x:f>F4</x:f>
        <x:v>1.7698718224654584</x:v>
      </x:c>
    </x:row>
    <x:row r="5">
      <x:c r="A5" s="199" t="n">
        <x:v>0.05</x:v>
      </x:c>
      <x:c r="B5" s="202" t="n">
        <x:f>Engine!$C$62*(1+$A5)</x:f>
        <x:v>1.7035874956019215</x:v>
      </x:c>
      <x:c r="C5" s="54" t="n">
        <x:f>B5*Engine!$C$31</x:f>
        <x:v>164352.41112694846</x:v>
      </x:c>
      <x:c r="D5" s="54" t="n">
        <x:f>C5-Engine!$C$60</x:f>
        <x:v>7826.305291759461</x:v>
      </x:c>
      <x:c r="E5" s="199" t="n">
        <x:f>IFERROR(D5/C5,0)</x:f>
        <x:v>0.047619047619047686</x:v>
      </x:c>
      <x:c r="F5" s="202" t="n">
        <x:f>Engine!$D$62*(1+$A5)</x:f>
        <x:v>1.8583654135887313</x:v>
      </x:c>
      <x:c r="G5" s="54" t="n">
        <x:f>F5*Engine!$D$31</x:f>
        <x:v>146606.447478015</x:v>
      </x:c>
      <x:c r="H5" s="54" t="n">
        <x:f>G5-Engine!$D$60</x:f>
        <x:v>6981.2594037149975</x:v>
      </x:c>
      <x:c r="I5" s="199" t="n">
        <x:f>IFERROR(H5/G5,0)</x:f>
        <x:v>0.0476190476190476</x:v>
      </x:c>
      <x:c r="K5" s="199" t="n">
        <x:f>A5</x:f>
        <x:v>0.05</x:v>
      </x:c>
      <x:c r="L5" s="202" t="n">
        <x:f>B5</x:f>
        <x:v>1.7035874956019215</x:v>
      </x:c>
      <x:c r="M5" s="202" t="n">
        <x:f>F5</x:f>
        <x:v>1.8583654135887313</x:v>
      </x:c>
    </x:row>
    <x:row r="6">
      <x:c r="A6" s="199" t="n">
        <x:v>0.1</x:v>
      </x:c>
      <x:c r="B6" s="202" t="n">
        <x:f>Engine!$C$62*(1+$A6)</x:f>
        <x:v>1.7847107096782036</x:v>
      </x:c>
      <x:c r="C6" s="54" t="n">
        <x:f>B6*Engine!$C$31</x:f>
        <x:v>172178.71641870792</x:v>
      </x:c>
      <x:c r="D6" s="54" t="n">
        <x:f>C6-Engine!$C$60</x:f>
        <x:v>15652.610583518923</x:v>
      </x:c>
      <x:c r="E6" s="199" t="n">
        <x:f>IFERROR(D6/C6,0)</x:f>
        <x:v>0.09090909090909104</x:v>
      </x:c>
      <x:c r="F6" s="202" t="n">
        <x:f>Engine!$D$62*(1+$A6)</x:f>
        <x:v>1.9468590047120045</x:v>
      </x:c>
      <x:c r="G6" s="54" t="n">
        <x:f>F6*Engine!$D$31</x:f>
        <x:v>153587.70688173003</x:v>
      </x:c>
      <x:c r="H6" s="54" t="n">
        <x:f>G6-Engine!$D$60</x:f>
        <x:v>13962.518807430024</x:v>
      </x:c>
      <x:c r="I6" s="199" t="n">
        <x:f>IFERROR(H6/G6,0)</x:f>
        <x:v>0.09090909090909105</x:v>
      </x:c>
      <x:c r="K6" s="199" t="n">
        <x:f>A6</x:f>
        <x:v>0.1</x:v>
      </x:c>
      <x:c r="L6" s="202" t="n">
        <x:f>B6</x:f>
        <x:v>1.7847107096782036</x:v>
      </x:c>
      <x:c r="M6" s="202" t="n">
        <x:f>F6</x:f>
        <x:v>1.9468590047120045</x:v>
      </x:c>
    </x:row>
    <x:row r="7">
      <x:c r="A7" s="199" t="n">
        <x:v>0.125</x:v>
      </x:c>
      <x:c r="B7" s="202" t="n">
        <x:f>Engine!$C$62*(1+$A7)</x:f>
        <x:v>1.8252723167163443</x:v>
      </x:c>
      <x:c r="C7" s="54" t="n">
        <x:f>B7*Engine!$C$31</x:f>
        <x:v>176091.8690645876</x:v>
      </x:c>
      <x:c r="D7" s="54" t="n">
        <x:f>C7-Engine!$C$60</x:f>
        <x:v>19565.76322939861</x:v>
      </x:c>
      <x:c r="E7" s="199" t="n">
        <x:f>IFERROR(D7/C7,0)</x:f>
        <x:v>0.11111111111111104</x:v>
      </x:c>
      <x:c r="F7" s="202" t="n">
        <x:f>Engine!$D$62*(1+$A7)</x:f>
        <x:v>1.9911058002736406</x:v>
      </x:c>
      <x:c r="G7" s="54" t="n">
        <x:f>F7*Engine!$D$31</x:f>
        <x:v>157078.33658358752</x:v>
      </x:c>
      <x:c r="H7" s="54" t="n">
        <x:f>G7-Engine!$D$60</x:f>
        <x:v>17453.14850928751</x:v>
      </x:c>
      <x:c r="I7" s="199" t="n">
        <x:f>IFERROR(H7/G7,0)</x:f>
        <x:v>0.11111111111111115</x:v>
      </x:c>
      <x:c r="K7" s="199" t="n">
        <x:f>A7</x:f>
        <x:v>0.125</x:v>
      </x:c>
      <x:c r="L7" s="202" t="n">
        <x:f>B7</x:f>
        <x:v>1.8252723167163443</x:v>
      </x:c>
      <x:c r="M7" s="202" t="n">
        <x:f>F7</x:f>
        <x:v>1.9911058002736406</x:v>
      </x:c>
    </x:row>
    <x:row r="8">
      <x:c r="A8" s="199" t="n">
        <x:v>0.15</x:v>
      </x:c>
      <x:c r="B8" s="202" t="n">
        <x:f>Engine!$C$62*(1+$A8)</x:f>
        <x:v>1.8658339237544852</x:v>
      </x:c>
      <x:c r="C8" s="54" t="n">
        <x:f>B8*Engine!$C$31</x:f>
        <x:v>180005.02171046735</x:v>
      </x:c>
      <x:c r="D8" s="54" t="n">
        <x:f>C8-Engine!$C$60</x:f>
        <x:v>23478.915875278355</x:v>
      </x:c>
      <x:c r="E8" s="199" t="n">
        <x:f>IFERROR(D8/C8,0)</x:f>
        <x:v>0.13043478260869568</x:v>
      </x:c>
      <x:c r="F8" s="202" t="n">
        <x:f>Engine!$D$62*(1+$A8)</x:f>
        <x:v>2.035352595835277</x:v>
      </x:c>
      <x:c r="G8" s="54" t="n">
        <x:f>F8*Engine!$D$31</x:f>
        <x:v>160568.96628544503</x:v>
      </x:c>
      <x:c r="H8" s="54" t="n">
        <x:f>G8-Engine!$D$60</x:f>
        <x:v>20943.77821114502</x:v>
      </x:c>
      <x:c r="I8" s="199" t="n">
        <x:f>IFERROR(H8/G8,0)</x:f>
        <x:v>0.13043478260869576</x:v>
      </x:c>
      <x:c r="K8" s="199" t="n">
        <x:f>A8</x:f>
        <x:v>0.15</x:v>
      </x:c>
      <x:c r="L8" s="202" t="n">
        <x:f>B8</x:f>
        <x:v>1.8658339237544852</x:v>
      </x:c>
      <x:c r="M8" s="202" t="n">
        <x:f>F8</x:f>
        <x:v>2.035352595835277</x:v>
      </x:c>
    </x:row>
    <x:row r="9">
      <x:c r="A9" s="199" t="n">
        <x:v>0.2</x:v>
      </x:c>
      <x:c r="B9" s="202" t="n">
        <x:f>Engine!$C$62*(1+$A9)</x:f>
        <x:v>1.946957137830767</x:v>
      </x:c>
      <x:c r="C9" s="54" t="n">
        <x:f>B9*Engine!$C$31</x:f>
        <x:v>187831.32700222678</x:v>
      </x:c>
      <x:c r="D9" s="54" t="n">
        <x:f>C9-Engine!$C$60</x:f>
        <x:v>31305.221167037787</x:v>
      </x:c>
      <x:c r="E9" s="199" t="n">
        <x:f>IFERROR(D9/C9,0)</x:f>
        <x:v>0.1666666666666666</x:v>
      </x:c>
      <x:c r="F9" s="202" t="n">
        <x:f>Engine!$D$62*(1+$A9)</x:f>
        <x:v>2.12384618695855</x:v>
      </x:c>
      <x:c r="G9" s="54" t="n">
        <x:f>F9*Engine!$D$31</x:f>
        <x:v>167550.22568916</x:v>
      </x:c>
      <x:c r="H9" s="54" t="n">
        <x:f>G9-Engine!$D$60</x:f>
        <x:v>27925.03761485999</x:v>
      </x:c>
      <x:c r="I9" s="199" t="n">
        <x:f>IFERROR(H9/G9,0)</x:f>
        <x:v>0.1666666666666666</x:v>
      </x:c>
      <x:c r="K9" s="199" t="n">
        <x:f>A9</x:f>
        <x:v>0.2</x:v>
      </x:c>
      <x:c r="L9" s="202" t="n">
        <x:f>B9</x:f>
        <x:v>1.946957137830767</x:v>
      </x:c>
      <x:c r="M9" s="202" t="n">
        <x:f>F9</x:f>
        <x:v>2.12384618695855</x:v>
      </x:c>
    </x:row>
    <x:row r="10">
      <x:c r="A10" s="199" t="n">
        <x:v>0.25</x:v>
      </x:c>
      <x:c r="B10" s="202" t="n">
        <x:f>Engine!$C$62*(1+$A10)</x:f>
        <x:v>2.0280803519070494</x:v>
      </x:c>
      <x:c r="C10" s="54" t="n">
        <x:f>B10*Engine!$C$31</x:f>
        <x:v>195657.63229398627</x:v>
      </x:c>
      <x:c r="D10" s="54" t="n">
        <x:f>C10-Engine!$C$60</x:f>
        <x:v>39131.52645879728</x:v>
      </x:c>
      <x:c r="E10" s="199" t="n">
        <x:f>IFERROR(D10/C10,0)</x:f>
        <x:v>0.20000000000000012</x:v>
      </x:c>
      <x:c r="F10" s="202" t="n">
        <x:f>Engine!$D$62*(1+$A10)</x:f>
        <x:v>2.212339778081823</x:v>
      </x:c>
      <x:c r="G10" s="54" t="n">
        <x:f>F10*Engine!$D$31</x:f>
        <x:v>174531.48509287502</x:v>
      </x:c>
      <x:c r="H10" s="54" t="n">
        <x:f>G10-Engine!$D$60</x:f>
        <x:v>34906.29701857502</x:v>
      </x:c>
      <x:c r="I10" s="199" t="n">
        <x:f>IFERROR(H10/G10,0)</x:f>
        <x:v>0.20000000000000007</x:v>
      </x:c>
      <x:c r="K10" s="199" t="n">
        <x:f>A10</x:f>
        <x:v>0.25</x:v>
      </x:c>
      <x:c r="L10" s="202" t="n">
        <x:f>B10</x:f>
        <x:v>2.0280803519070494</x:v>
      </x:c>
      <x:c r="M10" s="202" t="n">
        <x:f>F10</x:f>
        <x:v>2.212339778081823</x:v>
      </x:c>
    </x:row>
    <x:row r="11">
      <x:c r="A11" s="199" t="n">
        <x:v>0.3</x:v>
      </x:c>
      <x:c r="B11" s="202" t="n">
        <x:f>Engine!$C$62*(1+$A11)</x:f>
        <x:v>2.1092035659833313</x:v>
      </x:c>
      <x:c r="C11" s="54" t="n">
        <x:f>B11*Engine!$C$31</x:f>
        <x:v>203483.9375857457</x:v>
      </x:c>
      <x:c r="D11" s="54" t="n">
        <x:f>C11-Engine!$C$60</x:f>
        <x:v>46957.83175055671</x:v>
      </x:c>
      <x:c r="E11" s="199" t="n">
        <x:f>IFERROR(D11/C11,0)</x:f>
        <x:v>0.2307692307692308</x:v>
      </x:c>
      <x:c r="F11" s="202" t="n">
        <x:f>Engine!$D$62*(1+$A11)</x:f>
        <x:v>2.300833369205096</x:v>
      </x:c>
      <x:c r="G11" s="54" t="n">
        <x:f>F11*Engine!$D$31</x:f>
        <x:v>181512.74449659005</x:v>
      </x:c>
      <x:c r="H11" s="54" t="n">
        <x:f>G11-Engine!$D$60</x:f>
        <x:v>41887.55642229004</x:v>
      </x:c>
      <x:c r="I11" s="199" t="n">
        <x:f>IFERROR(H11/G11,0)</x:f>
        <x:v>0.23076923076923095</x:v>
      </x:c>
      <x:c r="K11" s="199" t="n">
        <x:f>A11</x:f>
        <x:v>0.3</x:v>
      </x:c>
      <x:c r="L11" s="202" t="n">
        <x:f>B11</x:f>
        <x:v>2.1092035659833313</x:v>
      </x:c>
      <x:c r="M11" s="202" t="n">
        <x:f>F11</x:f>
        <x:v>2.300833369205096</x:v>
      </x:c>
    </x:row>
    <x:row r="12">
      <x:c r="A12" s="199" t="n">
        <x:v>0.35</x:v>
      </x:c>
      <x:c r="B12" s="202" t="n">
        <x:f>Engine!$C$62*(1+$A12)</x:f>
        <x:v>2.190326780059613</x:v>
      </x:c>
      <x:c r="C12" s="54" t="n">
        <x:f>B12*Engine!$C$31</x:f>
        <x:v>211310.24287750514</x:v>
      </x:c>
      <x:c r="D12" s="54" t="n">
        <x:f>C12-Engine!$C$60</x:f>
        <x:v>54784.13704231614</x:v>
      </x:c>
      <x:c r="E12" s="199" t="n">
        <x:f>IFERROR(D12/C12,0)</x:f>
        <x:v>0.25925925925925924</x:v>
      </x:c>
      <x:c r="F12" s="202" t="n">
        <x:f>Engine!$D$62*(1+$A12)</x:f>
        <x:v>2.389326960328369</x:v>
      </x:c>
      <x:c r="G12" s="54" t="n">
        <x:f>F12*Engine!$D$31</x:f>
        <x:v>188494.00390030502</x:v>
      </x:c>
      <x:c r="H12" s="54" t="n">
        <x:f>G12-Engine!$D$60</x:f>
        <x:v>48868.81582600501</x:v>
      </x:c>
      <x:c r="I12" s="199" t="n">
        <x:f>IFERROR(H12/G12,0)</x:f>
        <x:v>0.2592592592592593</x:v>
      </x:c>
      <x:c r="K12" s="199" t="n">
        <x:f>A12</x:f>
        <x:v>0.35</x:v>
      </x:c>
      <x:c r="L12" s="202" t="n">
        <x:f>B12</x:f>
        <x:v>2.190326780059613</x:v>
      </x:c>
      <x:c r="M12" s="202" t="n">
        <x:f>F12</x:f>
        <x:v>2.389326960328369</x:v>
      </x:c>
    </x:row>
    <x:row r="13">
      <x:c r="A13" s="199" t="n">
        <x:v>0.4</x:v>
      </x:c>
      <x:c r="B13" s="202" t="n">
        <x:f>Engine!$C$62*(1+$A13)</x:f>
        <x:v>2.271449994135895</x:v>
      </x:c>
      <x:c r="C13" s="54" t="n">
        <x:f>B13*Engine!$C$31</x:f>
        <x:v>219136.54816926457</x:v>
      </x:c>
      <x:c r="D13" s="54" t="n">
        <x:f>C13-Engine!$C$60</x:f>
        <x:v>62610.442334075575</x:v>
      </x:c>
      <x:c r="E13" s="199" t="n">
        <x:f>IFERROR(D13/C13,0)</x:f>
        <x:v>0.28571428571428564</x:v>
      </x:c>
      <x:c r="F13" s="202" t="n">
        <x:f>Engine!$D$62*(1+$A13)</x:f>
        <x:v>2.4778205514516416</x:v>
      </x:c>
      <x:c r="G13" s="54" t="n">
        <x:f>F13*Engine!$D$31</x:f>
        <x:v>195475.26330402002</x:v>
      </x:c>
      <x:c r="H13" s="54" t="n">
        <x:f>G13-Engine!$D$60</x:f>
        <x:v>55850.07522972001</x:v>
      </x:c>
      <x:c r="I13" s="199" t="n">
        <x:f>IFERROR(H13/G13,0)</x:f>
        <x:v>0.28571428571428575</x:v>
      </x:c>
      <x:c r="K13" s="199" t="n">
        <x:f>A13</x:f>
        <x:v>0.4</x:v>
      </x:c>
      <x:c r="L13" s="202" t="n">
        <x:f>B13</x:f>
        <x:v>2.271449994135895</x:v>
      </x:c>
      <x:c r="M13" s="202" t="n">
        <x:f>F13</x:f>
        <x:v>2.4778205514516416</x:v>
      </x:c>
    </x:row>
    <x:row r="15">
      <x:c r="A15" s="193" t="str">
        <x:v>Selected pricing assumption</x:v>
      </x:c>
      <x:c r="B15" s="193"/>
      <x:c r="C15" s="193" t="str">
        <x:v>Long Distance 40t</x:v>
      </x:c>
      <x:c r="D15" s="193" t="str">
        <x:v>Regional 40t</x:v>
      </x:c>
    </x:row>
    <x:row r="16">
      <x:c r="A16" t="str">
        <x:v>Selected markup over break-even</x:v>
      </x:c>
      <x:c r="B16" t="str">
        <x:v>%</x:v>
      </x:c>
      <x:c r="C16" s="200" t="n">
        <x:v>0.125</x:v>
      </x:c>
      <x:c r="D16" s="200" t="n">
        <x:v>0.125</x:v>
      </x:c>
    </x:row>
    <x:row r="17">
      <x:c r="A17" t="str">
        <x:v>Break-even price</x:v>
      </x:c>
      <x:c r="B17" t="str">
        <x:v>EUR/loaded km</x:v>
      </x:c>
      <x:c r="C17" s="203" t="n">
        <x:f>Engine!$C$62</x:f>
        <x:v>1.6224642815256394</x:v>
      </x:c>
      <x:c r="D17" s="203" t="n">
        <x:f>Engine!$D$62</x:f>
        <x:v>1.7698718224654584</x:v>
      </x:c>
    </x:row>
    <x:row r="18">
      <x:c r="A18" t="str">
        <x:v>Final customer rate per loaded km</x:v>
      </x:c>
      <x:c r="B18" t="str">
        <x:v>EUR/loaded km</x:v>
      </x:c>
      <x:c r="C18" s="203" t="n">
        <x:f>C17*(1+C16)</x:f>
        <x:v>1.8252723167163443</x:v>
      </x:c>
      <x:c r="D18" s="203" t="n">
        <x:f>D17*(1+D16)</x:f>
        <x:v>1.9911058002736406</x:v>
      </x:c>
    </x:row>
    <x:row r="19">
      <x:c r="A19" t="str">
        <x:v>Annual revenue at final rate</x:v>
      </x:c>
      <x:c r="B19" t="str">
        <x:v>EUR/year</x:v>
      </x:c>
      <x:c r="C19" s="204" t="n">
        <x:f>C18*Engine!$C$31</x:f>
        <x:v>176091.8690645876</x:v>
      </x:c>
      <x:c r="D19" s="204" t="n">
        <x:f>D18*Engine!$D$31</x:f>
        <x:v>157078.33658358752</x:v>
      </x:c>
    </x:row>
    <x:row r="20">
      <x:c r="A20" t="str">
        <x:v>EBIT at final rate</x:v>
      </x:c>
      <x:c r="B20" t="str">
        <x:v>EUR/year</x:v>
      </x:c>
      <x:c r="C20" s="204" t="n">
        <x:f>C19-Engine!$C$60</x:f>
        <x:v>19565.76322939861</x:v>
      </x:c>
      <x:c r="D20" s="204" t="n">
        <x:f>D19-Engine!$D$60</x:f>
        <x:v>17453.14850928751</x:v>
      </x:c>
    </x:row>
    <x:row r="21">
      <x:c r="A21" t="str">
        <x:v>EBIT margin at final rate</x:v>
      </x:c>
      <x:c r="B21" t="str">
        <x:v>% revenue</x:v>
      </x:c>
      <x:c r="C21" s="201" t="n">
        <x:f>IFERROR(C20/C19,0)</x:f>
        <x:v>0.11111111111111104</x:v>
      </x:c>
      <x:c r="D21" s="201" t="n">
        <x:f>IFERROR(D20/D19,0)</x:f>
        <x:v>0.11111111111111115</x:v>
      </x:c>
    </x:row>
    <x:row r="22">
      <x:c r="C22" s="195"/>
      <x:c r="D22" s="195"/>
    </x:row>
    <x:row r="23">
      <x:c r="A23" s="193" t="str">
        <x:v>Target margin cross-check</x:v>
      </x:c>
      <x:c r="B23" s="193"/>
      <x:c r="C23" s="196" t="str">
        <x:v>Long Distance 40t</x:v>
      </x:c>
      <x:c r="D23" s="196" t="str">
        <x:v>Regional 40t</x:v>
      </x:c>
    </x:row>
    <x:row r="24">
      <x:c r="A24" t="str">
        <x:v>Target EBIT margin from Inputs</x:v>
      </x:c>
      <x:c r="B24" t="str">
        <x:v>% revenue</x:v>
      </x:c>
      <x:c r="C24" s="201" t="n">
        <x:f>Engine!$C$27</x:f>
        <x:v>0.1</x:v>
      </x:c>
      <x:c r="D24" s="201" t="n">
        <x:f>Engine!$D$27</x:f>
        <x:v>0.1</x:v>
      </x:c>
    </x:row>
    <x:row r="25">
      <x:c r="A25" t="str">
        <x:v>Markup needed to reach target margin</x:v>
      </x:c>
      <x:c r="B25" t="str">
        <x:v>% over break-even</x:v>
      </x:c>
      <x:c r="C25" s="201" t="n">
        <x:f>IFERROR(C24/(1-C24),0)</x:f>
        <x:v>0.11111111111111112</x:v>
      </x:c>
      <x:c r="D25" s="201" t="n">
        <x:f>IFERROR(D24/(1-D24),0)</x:f>
        <x:v>0.11111111111111112</x:v>
      </x:c>
    </x:row>
    <x:row r="26">
      <x:c r="A26" t="str">
        <x:v>Rate needed to reach target margin</x:v>
      </x:c>
      <x:c r="B26" t="str">
        <x:v>EUR/loaded km</x:v>
      </x:c>
      <x:c r="C26" s="203" t="n">
        <x:f>Engine!$C$62*(1+C25)</x:f>
        <x:v>1.8027380905840438</x:v>
      </x:c>
      <x:c r="D26" s="203" t="n">
        <x:f>Engine!$D$62*(1+D25)</x:f>
        <x:v>1.9665242471838427</x:v>
      </x:c>
    </x:row>
    <x:row r="28">
      <x:c r="A28" s="192" t="str">
        <x:v>Logic note</x:v>
      </x:c>
      <x:c r="B28" s="192"/>
      <x:c r="C28" s="192"/>
      <x:c r="D28" s="192"/>
      <x:c r="E28" s="192"/>
      <x:c r="F28" s="192"/>
      <x:c r="G28" s="192"/>
      <x:c r="H28" s="192"/>
      <x:c r="I28" s="192"/>
    </x:row>
    <x:row r="29">
      <x:c r="A29" s="198" t="str">
        <x:v>Break-even is calculated first in Engine row 62.</x:v>
      </x:c>
      <x:c r="B29" s="198"/>
      <x:c r="C29" s="198"/>
      <x:c r="D29" s="198"/>
      <x:c r="E29" s="198"/>
      <x:c r="F29" s="198"/>
      <x:c r="G29" s="198"/>
      <x:c r="H29" s="198"/>
      <x:c r="I29" s="198"/>
    </x:row>
    <x:row r="30">
      <x:c r="A30" s="198" t="str">
        <x:v>Customer rate is then calculated here as: break-even price × (1 + markup over break-even).</x:v>
      </x:c>
      <x:c r="B30" s="198"/>
      <x:c r="C30" s="198"/>
      <x:c r="D30" s="198"/>
      <x:c r="E30" s="198"/>
      <x:c r="F30" s="198"/>
      <x:c r="G30" s="198"/>
      <x:c r="H30" s="198"/>
      <x:c r="I30" s="198"/>
    </x:row>
    <x:row r="31">
      <x:c r="A31" s="198" t="str">
        <x:v>A 10% markup over break-even is not the same as a 10% EBIT margin; a 10% EBIT margin requires an 11.11% markup over break-even.</x:v>
      </x:c>
      <x:c r="B31" s="198"/>
      <x:c r="C31" s="198"/>
      <x:c r="D31" s="198"/>
      <x:c r="E31" s="198"/>
      <x:c r="F31" s="198"/>
      <x:c r="G31" s="198"/>
      <x:c r="H31" s="198"/>
      <x:c r="I31" s="198"/>
    </x:row>
  </x:sheetData>
  <x:mergeCells>
    <x:mergeCell ref="A1:I1"/>
    <x:mergeCell ref="A28:I28"/>
    <x:mergeCell ref="A29:I29"/>
    <x:mergeCell ref="A30:I30"/>
    <x:mergeCell ref="A31:I31"/>
  </x:mergeCells>
  <x:pageMargins left="0.7" right="0.7" top="0.75" bottom="0.75" header="0.3" footer="0.3"/>
  <x:drawing xmlns:r="http://schemas.openxmlformats.org/officeDocument/2006/relationships" r:id="R523c3b5983ee4348"/>
</x:worksheet>
</file>