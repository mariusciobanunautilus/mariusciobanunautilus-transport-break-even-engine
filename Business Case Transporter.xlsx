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hicle1" sheetId="1" r:id="rId3"/>
    <sheet state="visible" name="Vehicle2" sheetId="2" r:id="rId4"/>
  </sheets>
  <definedNames/>
  <calcPr/>
</workbook>
</file>

<file path=xl/sharedStrings.xml><?xml version="1.0" encoding="utf-8"?>
<sst xmlns="http://schemas.openxmlformats.org/spreadsheetml/2006/main" count="186" uniqueCount="85">
  <si>
    <t>Reference cost CNR for regional transport - 40 tons</t>
  </si>
  <si>
    <t>Reference cost CNR for long distance transport - 40 tons</t>
  </si>
  <si>
    <t>Articulated assembly of 40 tons - General cargo transport</t>
  </si>
  <si>
    <t>Operating conditions</t>
  </si>
  <si>
    <t>Vehicle usage conditions</t>
  </si>
  <si>
    <t>Annual mileage per vehicle (km)</t>
  </si>
  <si>
    <t>Number of operating days per year (days)</t>
  </si>
  <si>
    <t>Average recorded speed (km/h)</t>
  </si>
  <si>
    <t>Using degree with charge (load)</t>
  </si>
  <si>
    <t>Load capacity (tons)</t>
  </si>
  <si>
    <t>Load capacity for the use with charge (load)</t>
  </si>
  <si>
    <t>Waiting time between loading and unloading</t>
  </si>
  <si>
    <t>3 h 23 min</t>
  </si>
  <si>
    <t>3 h 24 min</t>
  </si>
  <si>
    <t>Ratio between semi-trailer and transport vehicle</t>
  </si>
  <si>
    <t>Duration of use of the tractor vehicle (years)</t>
  </si>
  <si>
    <t>Duration of use of the semi-trailer (years)</t>
  </si>
  <si>
    <t>Driver employment conditions</t>
  </si>
  <si>
    <t>Driver employed</t>
  </si>
  <si>
    <t>Full time</t>
  </si>
  <si>
    <t>Working time for a full month of activity (hours)</t>
  </si>
  <si>
    <t>Of which% driving time</t>
  </si>
  <si>
    <t>Number of working days per year (days)</t>
  </si>
  <si>
    <t>Annual working time (hours)</t>
  </si>
  <si>
    <t>Number of drivers per vehicle</t>
  </si>
  <si>
    <t>Cost components</t>
  </si>
  <si>
    <t>Mileage cost</t>
  </si>
  <si>
    <t>Average consumption per 100 km (liters)</t>
  </si>
  <si>
    <t>Gas price excluding VAT pump station</t>
  </si>
  <si>
    <t>Tires, cost per year (EUR)</t>
  </si>
  <si>
    <t>Maintenance - repairs, annual costs (EUR)</t>
  </si>
  <si>
    <t>Road fees, annual costs (EUR)</t>
  </si>
  <si>
    <t>Vehicle cost</t>
  </si>
  <si>
    <t>tractor</t>
  </si>
  <si>
    <t>semi-trailer</t>
  </si>
  <si>
    <t>New vehicle value (EUR)</t>
  </si>
  <si>
    <t>Financing models (loan, leasing, rental)</t>
  </si>
  <si>
    <t>41%, 51%, 8%</t>
  </si>
  <si>
    <t>45%, 42%, 13%</t>
  </si>
  <si>
    <t>45%, 46%, 9%</t>
  </si>
  <si>
    <t>46%, 52%, 2%</t>
  </si>
  <si>
    <t>Annual cost of vehicle financing and ownership</t>
  </si>
  <si>
    <t>Insurance - vehicle (EUR)</t>
  </si>
  <si>
    <t>Insurance - cargo (EUR)</t>
  </si>
  <si>
    <t>Axis charges and other charges applied to the vehicle (EUR)</t>
  </si>
  <si>
    <t>Driver costs</t>
  </si>
  <si>
    <t>Driver employee</t>
  </si>
  <si>
    <t>Salary and other monthly payments (EUR)</t>
  </si>
  <si>
    <t>Taxes</t>
  </si>
  <si>
    <t>Travel allowances (daily average) - EUR</t>
  </si>
  <si>
    <t>Structural costs</t>
  </si>
  <si>
    <t>Structural and other indirect taxes, annual value per vehicle (EUR)</t>
  </si>
  <si>
    <t>Cost Calculation</t>
  </si>
  <si>
    <t>Direct Cost per kilometer</t>
  </si>
  <si>
    <t>Costs (EUR)</t>
  </si>
  <si>
    <t>Structure</t>
  </si>
  <si>
    <t>Annual Costs</t>
  </si>
  <si>
    <t>Fuel</t>
  </si>
  <si>
    <t>Tires</t>
  </si>
  <si>
    <t>Maintenance-repairs</t>
  </si>
  <si>
    <t>Total wo road fees</t>
  </si>
  <si>
    <t>Road fees</t>
  </si>
  <si>
    <t>Total/km (CK)</t>
  </si>
  <si>
    <t>Cost per driver for a 10 hours working day</t>
  </si>
  <si>
    <t>Salaries</t>
  </si>
  <si>
    <t>Travel Expenses</t>
  </si>
  <si>
    <t>Total operating cost (daily) (CC/h)</t>
  </si>
  <si>
    <t>Cost per vehicle (daily)</t>
  </si>
  <si>
    <t>Cost of ownership of the tractor vehicle</t>
  </si>
  <si>
    <t>Cost of ownership of the semi-trailer</t>
  </si>
  <si>
    <t>Insurance</t>
  </si>
  <si>
    <t>Total operating day (daily) (CV)</t>
  </si>
  <si>
    <t>Structural Costs per day</t>
  </si>
  <si>
    <t>Structural taxes and other indirect taxes (CS)</t>
  </si>
  <si>
    <t>Cost Summary (cost price) - Annual</t>
  </si>
  <si>
    <t>Trinom - Formula</t>
  </si>
  <si>
    <t>Km component - CK</t>
  </si>
  <si>
    <t>Hour component - CC/h</t>
  </si>
  <si>
    <t>Daily Component - CV + CS</t>
  </si>
  <si>
    <t>Cost / km (EUR)</t>
  </si>
  <si>
    <t>Cost / 50 Auctions</t>
  </si>
  <si>
    <t>Number of auctions/month/vehicle</t>
  </si>
  <si>
    <t>Annual Price/auctions</t>
  </si>
  <si>
    <t>Auction Cost / km (EUR)</t>
  </si>
  <si>
    <t>Final Cost / km / vehicle (EUR)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</si>
</sst>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"/>
    <numFmt numFmtId="165" formatCode="0.0%"/>
    <numFmt numFmtId="166" formatCode="0.0"/>
    <numFmt numFmtId="167" formatCode="0.0000"/>
    <numFmt numFmtId="168" formatCode="#,##0.0000"/>
    <numFmt numFmtId="169" formatCode="0.000"/>
    <numFmt numFmtId="170" formatCode="#,##0.000"/>
  </numFmts>
  <fonts count="10">
    <font>
      <sz val="11.0"/>
      <color rgb="FF000000"/>
      <name val="Calibri"/>
    </font>
    <font>
      <sz val="10.0"/>
      <color rgb="FF000000"/>
      <name val="Calibri"/>
    </font>
    <font>
      <b/>
      <i/>
      <sz val="10.0"/>
      <name val="Calibri"/>
    </font>
    <font>
      <b/>
      <i/>
      <sz val="10.0"/>
      <color rgb="FF0070C0"/>
      <name val="Calibri"/>
    </font>
    <font>
      <b/>
      <sz val="10.0"/>
      <color rgb="FF0070C0"/>
      <name val="Calibri"/>
    </font>
    <font>
      <b/>
      <sz val="10.0"/>
      <color rgb="FF000000"/>
      <name val="Calibri"/>
    </font>
    <font>
      <sz val="10.0"/>
      <name val="Calibri"/>
    </font>
    <font>
      <sz val="10.0"/>
      <color rgb="FF212121"/>
      <name val="Arial"/>
    </font>
    <font>
      <b/>
      <sz val="10.0"/>
      <name val="Calibri"/>
    </font>
    <font>
      <b/>
      <sz val="10.0"/>
      <color rgb="FF00B05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F2F2F2"/>
        <bgColor rgb="FFF2F2F2"/>
      </patternFill>
    </fill>
    <fill>
      <patternFill patternType="solid">
        <fgColor rgb="FFFFFFB3"/>
        <bgColor rgb="FFFFFFB3"/>
      </patternFill>
    </fill>
  </fills>
  <borders count="15">
    <border/>
    <border>
      <left/>
      <right/>
      <top/>
      <bottom/>
    </border>
    <border>
      <left/>
      <right/>
      <top/>
      <bottom style="medium">
        <color rgb="FF7F7F7F"/>
      </bottom>
    </border>
    <border>
      <left/>
      <right/>
      <top style="medium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rgb="FF7F7F7F"/>
      </bottom>
    </border>
    <border>
      <left style="thin">
        <color rgb="FF7F7F7F"/>
      </left>
      <right style="thin">
        <color rgb="FF7F7F7F"/>
      </right>
      <top/>
      <bottom style="thin">
        <color rgb="FF7F7F7F"/>
      </bottom>
    </border>
    <border>
      <top style="thin">
        <color rgb="FF7F7F7F"/>
      </top>
      <bottom style="thin">
        <color rgb="FF7F7F7F"/>
      </bottom>
    </border>
    <border>
      <left/>
      <right/>
      <top style="thin">
        <color rgb="FF7F7F7F"/>
      </top>
      <bottom/>
    </border>
    <border>
      <top style="thin">
        <color rgb="FF7F7F7F"/>
      </top>
      <bottom style="medium">
        <color rgb="FF7F7F7F"/>
      </bottom>
    </border>
    <border>
      <top style="medium">
        <color rgb="FF7F7F7F"/>
      </top>
      <bottom style="medium">
        <color rgb="FF7F7F7F"/>
      </bottom>
    </border>
    <border>
      <bottom style="medium">
        <color rgb="FF7F7F7F"/>
      </bottom>
    </border>
    <border>
      <left style="thin">
        <color rgb="FF7F7F7F"/>
      </left>
      <right style="thin">
        <color rgb="FF7F7F7F"/>
      </right>
      <top style="medium">
        <color rgb="FF7F7F7F"/>
      </top>
      <bottom style="medium">
        <color rgb="FF7F7F7F"/>
      </bottom>
    </border>
    <border>
      <left/>
      <right/>
      <top/>
      <bottom style="thin">
        <color rgb="FF7F7F7F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1" numFmtId="0" xfId="0" applyFont="1"/>
    <xf borderId="1" fillId="2" fontId="3" numFmtId="0" xfId="0" applyBorder="1" applyFont="1"/>
    <xf borderId="2" fillId="2" fontId="4" numFmtId="0" xfId="0" applyBorder="1" applyFont="1"/>
    <xf borderId="2" fillId="2" fontId="1" numFmtId="0" xfId="0" applyBorder="1" applyFont="1"/>
    <xf borderId="3" fillId="2" fontId="5" numFmtId="0" xfId="0" applyBorder="1" applyFont="1"/>
    <xf borderId="3" fillId="2" fontId="1" numFmtId="0" xfId="0" applyBorder="1" applyFont="1"/>
    <xf borderId="4" fillId="3" fontId="1" numFmtId="0" xfId="0" applyBorder="1" applyFill="1" applyFont="1"/>
    <xf borderId="4" fillId="4" fontId="1" numFmtId="3" xfId="0" applyAlignment="1" applyBorder="1" applyFill="1" applyFont="1" applyNumberFormat="1">
      <alignment horizontal="left"/>
    </xf>
    <xf borderId="4" fillId="4" fontId="1" numFmtId="164" xfId="0" applyAlignment="1" applyBorder="1" applyFont="1" applyNumberFormat="1">
      <alignment horizontal="left"/>
    </xf>
    <xf borderId="4" fillId="3" fontId="6" numFmtId="0" xfId="0" applyBorder="1" applyFont="1"/>
    <xf borderId="4" fillId="4" fontId="1" numFmtId="165" xfId="0" applyAlignment="1" applyBorder="1" applyFont="1" applyNumberFormat="1">
      <alignment horizontal="left"/>
    </xf>
    <xf borderId="4" fillId="3" fontId="6" numFmtId="0" xfId="0" applyAlignment="1" applyBorder="1" applyFont="1">
      <alignment shrinkToFit="0" wrapText="1"/>
    </xf>
    <xf borderId="4" fillId="3" fontId="1" numFmtId="0" xfId="0" applyAlignment="1" applyBorder="1" applyFont="1">
      <alignment shrinkToFit="0" wrapText="1"/>
    </xf>
    <xf borderId="4" fillId="4" fontId="1" numFmtId="4" xfId="0" applyAlignment="1" applyBorder="1" applyFont="1" applyNumberFormat="1">
      <alignment horizontal="left"/>
    </xf>
    <xf borderId="1" fillId="2" fontId="7" numFmtId="0" xfId="0" applyBorder="1" applyFont="1"/>
    <xf borderId="5" fillId="2" fontId="1" numFmtId="0" xfId="0" applyBorder="1" applyFont="1"/>
    <xf borderId="4" fillId="4" fontId="1" numFmtId="0" xfId="0" applyAlignment="1" applyBorder="1" applyFont="1">
      <alignment horizontal="left"/>
    </xf>
    <xf borderId="1" fillId="2" fontId="1" numFmtId="166" xfId="0" applyBorder="1" applyFont="1" applyNumberFormat="1"/>
    <xf borderId="6" fillId="3" fontId="1" numFmtId="0" xfId="0" applyBorder="1" applyFont="1"/>
    <xf borderId="6" fillId="4" fontId="1" numFmtId="0" xfId="0" applyAlignment="1" applyBorder="1" applyFont="1">
      <alignment horizontal="left"/>
    </xf>
    <xf borderId="1" fillId="2" fontId="1" numFmtId="167" xfId="0" applyBorder="1" applyFont="1" applyNumberFormat="1"/>
    <xf borderId="4" fillId="4" fontId="1" numFmtId="0" xfId="0" applyBorder="1" applyFont="1"/>
    <xf borderId="4" fillId="4" fontId="1" numFmtId="168" xfId="0" applyAlignment="1" applyBorder="1" applyFont="1" applyNumberFormat="1">
      <alignment horizontal="right" shrinkToFit="0" wrapText="1"/>
    </xf>
    <xf borderId="1" fillId="2" fontId="1" numFmtId="169" xfId="0" applyBorder="1" applyFont="1" applyNumberFormat="1"/>
    <xf borderId="4" fillId="4" fontId="1" numFmtId="3" xfId="0" applyBorder="1" applyFont="1" applyNumberFormat="1"/>
    <xf borderId="7" fillId="3" fontId="1" numFmtId="0" xfId="0" applyBorder="1" applyFont="1"/>
    <xf borderId="4" fillId="4" fontId="1" numFmtId="164" xfId="0" applyBorder="1" applyFont="1" applyNumberFormat="1"/>
    <xf borderId="8" fillId="0" fontId="1" numFmtId="0" xfId="0" applyBorder="1" applyFont="1"/>
    <xf borderId="8" fillId="0" fontId="1" numFmtId="0" xfId="0" applyAlignment="1" applyBorder="1" applyFont="1">
      <alignment horizontal="left"/>
    </xf>
    <xf borderId="9" fillId="2" fontId="1" numFmtId="0" xfId="0" applyAlignment="1" applyBorder="1" applyFont="1">
      <alignment horizontal="left"/>
    </xf>
    <xf borderId="4" fillId="4" fontId="1" numFmtId="166" xfId="0" applyBorder="1" applyFont="1" applyNumberFormat="1"/>
    <xf borderId="4" fillId="4" fontId="1" numFmtId="10" xfId="0" applyAlignment="1" applyBorder="1" applyFont="1" applyNumberFormat="1">
      <alignment horizontal="left"/>
    </xf>
    <xf borderId="10" fillId="0" fontId="1" numFmtId="0" xfId="0" applyBorder="1" applyFont="1"/>
    <xf borderId="11" fillId="0" fontId="5" numFmtId="0" xfId="0" applyBorder="1" applyFont="1"/>
    <xf borderId="12" fillId="0" fontId="1" numFmtId="0" xfId="0" applyBorder="1" applyFont="1"/>
    <xf borderId="13" fillId="3" fontId="1" numFmtId="0" xfId="0" applyAlignment="1" applyBorder="1" applyFont="1">
      <alignment shrinkToFit="0" wrapText="1"/>
    </xf>
    <xf borderId="13" fillId="4" fontId="1" numFmtId="3" xfId="0" applyBorder="1" applyFont="1" applyNumberFormat="1"/>
    <xf borderId="2" fillId="2" fontId="3" numFmtId="0" xfId="0" applyBorder="1" applyFont="1"/>
    <xf borderId="1" fillId="2" fontId="8" numFmtId="0" xfId="0" applyBorder="1" applyFont="1"/>
    <xf borderId="4" fillId="4" fontId="1" numFmtId="169" xfId="0" applyBorder="1" applyFont="1" applyNumberFormat="1"/>
    <xf borderId="4" fillId="4" fontId="6" numFmtId="165" xfId="0" applyAlignment="1" applyBorder="1" applyFont="1" applyNumberFormat="1">
      <alignment horizontal="left"/>
    </xf>
    <xf borderId="4" fillId="4" fontId="6" numFmtId="3" xfId="0" applyBorder="1" applyFont="1" applyNumberFormat="1"/>
    <xf borderId="4" fillId="4" fontId="5" numFmtId="169" xfId="0" applyBorder="1" applyFont="1" applyNumberFormat="1"/>
    <xf borderId="4" fillId="4" fontId="5" numFmtId="165" xfId="0" applyAlignment="1" applyBorder="1" applyFont="1" applyNumberFormat="1">
      <alignment horizontal="left"/>
    </xf>
    <xf borderId="4" fillId="4" fontId="5" numFmtId="3" xfId="0" applyBorder="1" applyFont="1" applyNumberFormat="1"/>
    <xf borderId="4" fillId="3" fontId="5" numFmtId="0" xfId="0" applyBorder="1" applyFont="1"/>
    <xf borderId="14" fillId="2" fontId="1" numFmtId="0" xfId="0" applyBorder="1" applyFont="1"/>
    <xf borderId="4" fillId="4" fontId="1" numFmtId="2" xfId="0" applyBorder="1" applyFont="1" applyNumberFormat="1"/>
    <xf borderId="7" fillId="4" fontId="1" numFmtId="3" xfId="0" applyBorder="1" applyFont="1" applyNumberFormat="1"/>
    <xf borderId="1" fillId="2" fontId="1" numFmtId="2" xfId="0" applyBorder="1" applyFont="1" applyNumberFormat="1"/>
    <xf borderId="4" fillId="4" fontId="5" numFmtId="2" xfId="0" applyBorder="1" applyFont="1" applyNumberFormat="1"/>
    <xf borderId="7" fillId="4" fontId="5" numFmtId="3" xfId="0" applyBorder="1" applyFont="1" applyNumberFormat="1"/>
    <xf borderId="4" fillId="4" fontId="1" numFmtId="4" xfId="0" applyBorder="1" applyFont="1" applyNumberFormat="1"/>
    <xf borderId="4" fillId="4" fontId="5" numFmtId="164" xfId="0" applyBorder="1" applyFont="1" applyNumberFormat="1"/>
    <xf borderId="6" fillId="3" fontId="5" numFmtId="0" xfId="0" applyBorder="1" applyFont="1"/>
    <xf borderId="6" fillId="4" fontId="5" numFmtId="4" xfId="0" applyBorder="1" applyFont="1" applyNumberFormat="1"/>
    <xf borderId="6" fillId="4" fontId="8" numFmtId="165" xfId="0" applyAlignment="1" applyBorder="1" applyFont="1" applyNumberFormat="1">
      <alignment horizontal="left"/>
    </xf>
    <xf borderId="6" fillId="4" fontId="6" numFmtId="165" xfId="0" applyAlignment="1" applyBorder="1" applyFont="1" applyNumberFormat="1">
      <alignment horizontal="left"/>
    </xf>
    <xf borderId="6" fillId="4" fontId="5" numFmtId="3" xfId="0" applyBorder="1" applyFont="1" applyNumberFormat="1"/>
    <xf borderId="4" fillId="3" fontId="4" numFmtId="0" xfId="0" applyBorder="1" applyFont="1"/>
    <xf borderId="4" fillId="4" fontId="4" numFmtId="3" xfId="0" applyBorder="1" applyFont="1" applyNumberFormat="1"/>
    <xf borderId="4" fillId="4" fontId="4" numFmtId="165" xfId="0" applyBorder="1" applyFont="1" applyNumberFormat="1"/>
    <xf borderId="4" fillId="4" fontId="1" numFmtId="170" xfId="0" applyBorder="1" applyFont="1" applyNumberFormat="1"/>
    <xf borderId="4" fillId="4" fontId="4" numFmtId="4" xfId="0" applyBorder="1" applyFont="1" applyNumberFormat="1"/>
    <xf borderId="4" fillId="5" fontId="6" numFmtId="3" xfId="0" applyBorder="1" applyFill="1" applyFont="1" applyNumberFormat="1"/>
    <xf borderId="4" fillId="3" fontId="9" numFmtId="0" xfId="0" applyBorder="1" applyFont="1"/>
    <xf borderId="4" fillId="4" fontId="9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3.71"/>
    <col customWidth="1" min="3" max="3" width="18.29"/>
    <col customWidth="1" min="4" max="4" width="13.86"/>
    <col customWidth="1" min="5" max="5" width="12.43"/>
    <col customWidth="1" min="6" max="6" width="11.0"/>
    <col customWidth="1" min="7" max="18" width="9.14"/>
    <col customWidth="1" min="19" max="26" width="8.71"/>
  </cols>
  <sheetData>
    <row r="1" ht="12.75" customHeight="1">
      <c r="A1" s="1"/>
      <c r="B1" s="2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3"/>
      <c r="W1" s="3"/>
      <c r="X1" s="3"/>
      <c r="Y1" s="3"/>
      <c r="Z1" s="3"/>
    </row>
    <row r="2" ht="12.75" customHeight="1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/>
      <c r="T2" s="3"/>
      <c r="U2" s="3"/>
      <c r="V2" s="3"/>
      <c r="W2" s="3"/>
      <c r="X2" s="3"/>
      <c r="Y2" s="3"/>
      <c r="Z2" s="3"/>
    </row>
    <row r="3" ht="12.75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/>
      <c r="T3" s="3"/>
      <c r="U3" s="3"/>
      <c r="V3" s="3"/>
      <c r="W3" s="3"/>
      <c r="X3" s="3"/>
      <c r="Y3" s="3"/>
      <c r="Z3" s="3"/>
    </row>
    <row r="4" ht="12.75" customHeight="1">
      <c r="A4" s="1"/>
      <c r="B4" s="5" t="s">
        <v>3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  <c r="T4" s="3"/>
      <c r="U4" s="3"/>
      <c r="V4" s="3"/>
      <c r="W4" s="3"/>
      <c r="X4" s="3"/>
      <c r="Y4" s="3"/>
      <c r="Z4" s="3"/>
    </row>
    <row r="5" ht="12.75" customHeight="1">
      <c r="A5" s="1"/>
      <c r="B5" s="7" t="s">
        <v>4</v>
      </c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3"/>
      <c r="T5" s="3"/>
      <c r="U5" s="3"/>
      <c r="V5" s="3"/>
      <c r="W5" s="3"/>
      <c r="X5" s="3"/>
      <c r="Y5" s="3"/>
      <c r="Z5" s="3"/>
    </row>
    <row r="6" ht="6.0" customHeight="1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3"/>
      <c r="V6" s="3"/>
      <c r="W6" s="3"/>
      <c r="X6" s="3"/>
      <c r="Y6" s="3"/>
      <c r="Z6" s="3"/>
    </row>
    <row r="7" ht="12.75" customHeight="1">
      <c r="A7" s="1"/>
      <c r="B7" s="9" t="s">
        <v>5</v>
      </c>
      <c r="C7" s="10">
        <v>113100.0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3"/>
      <c r="V7" s="3"/>
      <c r="W7" s="3"/>
      <c r="X7" s="3"/>
      <c r="Y7" s="3"/>
      <c r="Z7" s="3"/>
    </row>
    <row r="8" ht="12.75" customHeight="1">
      <c r="A8" s="1"/>
      <c r="B8" s="9" t="s">
        <v>6</v>
      </c>
      <c r="C8" s="11">
        <v>228.4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3"/>
      <c r="U8" s="3"/>
      <c r="V8" s="3"/>
      <c r="W8" s="3"/>
      <c r="X8" s="3"/>
      <c r="Y8" s="3"/>
      <c r="Z8" s="3"/>
    </row>
    <row r="9" ht="12.75" customHeight="1">
      <c r="A9" s="1"/>
      <c r="B9" s="9" t="s">
        <v>7</v>
      </c>
      <c r="C9" s="11">
        <v>63.9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3"/>
      <c r="V9" s="3"/>
      <c r="W9" s="3"/>
      <c r="X9" s="3"/>
      <c r="Y9" s="3"/>
      <c r="Z9" s="3"/>
    </row>
    <row r="10" ht="12.75" customHeight="1">
      <c r="A10" s="1"/>
      <c r="B10" s="12" t="s">
        <v>8</v>
      </c>
      <c r="C10" s="13">
        <v>0.853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"/>
      <c r="B11" s="14" t="s">
        <v>9</v>
      </c>
      <c r="C11" s="10">
        <v>25.0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"/>
      <c r="B12" s="12" t="s">
        <v>10</v>
      </c>
      <c r="C12" s="13">
        <v>0.868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"/>
      <c r="B13" s="15" t="s">
        <v>11</v>
      </c>
      <c r="C13" s="10" t="s">
        <v>12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"/>
      <c r="B14" s="9" t="s">
        <v>14</v>
      </c>
      <c r="C14" s="16">
        <v>1.34</v>
      </c>
      <c r="D14" s="1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"/>
      <c r="B15" s="15" t="s">
        <v>15</v>
      </c>
      <c r="C15" s="10">
        <v>6.5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"/>
      <c r="B16" s="9" t="s">
        <v>16</v>
      </c>
      <c r="C16" s="10">
        <v>10.9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3"/>
      <c r="V16" s="3"/>
      <c r="W16" s="3"/>
      <c r="X16" s="3"/>
      <c r="Y16" s="3"/>
      <c r="Z16" s="3"/>
    </row>
    <row r="17" ht="6.0" customHeight="1">
      <c r="A17" s="1"/>
      <c r="B17" s="1"/>
      <c r="C17" s="1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"/>
      <c r="B18" s="7" t="s">
        <v>17</v>
      </c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3"/>
      <c r="U18" s="3"/>
      <c r="V18" s="3"/>
      <c r="W18" s="3"/>
      <c r="X18" s="3"/>
      <c r="Y18" s="3"/>
      <c r="Z18" s="3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/>
      <c r="B20" s="9" t="s">
        <v>18</v>
      </c>
      <c r="C20" s="9" t="s">
        <v>19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/>
      <c r="B21" s="9" t="s">
        <v>20</v>
      </c>
      <c r="C21" s="19">
        <v>205.9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9" t="s">
        <v>21</v>
      </c>
      <c r="C22" s="13">
        <v>0.754</v>
      </c>
      <c r="D22" s="1"/>
      <c r="E22" s="2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9" t="s">
        <v>22</v>
      </c>
      <c r="C23" s="19">
        <v>215.2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/>
      <c r="B24" s="9" t="s">
        <v>23</v>
      </c>
      <c r="C24" s="19">
        <v>2123.0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21" t="s">
        <v>24</v>
      </c>
      <c r="C25" s="22">
        <v>1.064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1"/>
      <c r="H26" s="23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5" t="s">
        <v>25</v>
      </c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7" t="s">
        <v>26</v>
      </c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5" t="s">
        <v>27</v>
      </c>
      <c r="C29" s="24">
        <v>34.2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5" t="s">
        <v>28</v>
      </c>
      <c r="C30" s="25">
        <f>5.91/4.67</f>
        <v>1.265524625</v>
      </c>
      <c r="D30" s="1"/>
      <c r="E30" s="1"/>
      <c r="F30" s="1"/>
      <c r="G30" s="26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9" t="s">
        <v>29</v>
      </c>
      <c r="C31" s="27">
        <v>3098.0</v>
      </c>
      <c r="D31" s="1"/>
      <c r="E31" s="1"/>
      <c r="F31" s="1"/>
      <c r="G31" s="1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5" t="s">
        <v>30</v>
      </c>
      <c r="C32" s="27">
        <v>8221.0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9" t="s">
        <v>31</v>
      </c>
      <c r="C33" s="27">
        <v>8090.0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3"/>
      <c r="U33" s="3"/>
      <c r="V33" s="3"/>
      <c r="W33" s="3"/>
      <c r="X33" s="3"/>
      <c r="Y33" s="3"/>
      <c r="Z33" s="3"/>
    </row>
    <row r="34" ht="9.0" customHeight="1">
      <c r="A34" s="1"/>
      <c r="B34" s="1"/>
      <c r="C34" s="18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7" t="s">
        <v>32</v>
      </c>
      <c r="C35" s="6"/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5"/>
      <c r="C36" s="9" t="s">
        <v>33</v>
      </c>
      <c r="D36" s="28" t="s">
        <v>34</v>
      </c>
      <c r="E36" s="1"/>
      <c r="F36" s="26"/>
      <c r="G36" s="2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9" t="s">
        <v>35</v>
      </c>
      <c r="C37" s="10">
        <v>76832.0</v>
      </c>
      <c r="D37" s="10">
        <v>26911.0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9" t="s">
        <v>36</v>
      </c>
      <c r="C38" s="13" t="s">
        <v>38</v>
      </c>
      <c r="D38" s="13" t="s">
        <v>39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9" t="s">
        <v>41</v>
      </c>
      <c r="C39" s="29">
        <v>10793.0</v>
      </c>
      <c r="D39" s="29">
        <v>3208.0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3"/>
      <c r="T39" s="3"/>
      <c r="U39" s="3"/>
      <c r="V39" s="3"/>
      <c r="W39" s="3"/>
      <c r="X39" s="3"/>
      <c r="Y39" s="3"/>
      <c r="Z39" s="3"/>
    </row>
    <row r="40" ht="9.0" customHeight="1">
      <c r="A40" s="1"/>
      <c r="B40" s="30"/>
      <c r="C40" s="31"/>
      <c r="D40" s="3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5" t="s">
        <v>42</v>
      </c>
      <c r="C41" s="29">
        <v>2198.0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5" t="s">
        <v>43</v>
      </c>
      <c r="C42" s="33">
        <v>477.0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5" t="s">
        <v>44</v>
      </c>
      <c r="C43" s="33">
        <v>561.0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3"/>
      <c r="T43" s="3"/>
      <c r="U43" s="3"/>
      <c r="V43" s="3"/>
      <c r="W43" s="3"/>
      <c r="X43" s="3"/>
      <c r="Y43" s="3"/>
      <c r="Z43" s="3"/>
    </row>
    <row r="44" ht="9.0" customHeight="1">
      <c r="A44" s="1"/>
      <c r="B44" s="1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7" t="s">
        <v>45</v>
      </c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9" t="s">
        <v>46</v>
      </c>
      <c r="C46" s="9" t="s">
        <v>19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9" t="s">
        <v>47</v>
      </c>
      <c r="C47" s="16">
        <v>2348.72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9" t="s">
        <v>48</v>
      </c>
      <c r="C48" s="34">
        <v>0.4759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5" t="s">
        <v>49</v>
      </c>
      <c r="C49" s="19">
        <v>38.36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3"/>
      <c r="T49" s="3"/>
      <c r="U49" s="3"/>
      <c r="V49" s="3"/>
      <c r="W49" s="3"/>
      <c r="X49" s="3"/>
      <c r="Y49" s="3"/>
      <c r="Z49" s="3"/>
    </row>
    <row r="50" ht="9.0" customHeight="1">
      <c r="A50" s="1"/>
      <c r="B50" s="3"/>
      <c r="C50" s="3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36" t="s">
        <v>50</v>
      </c>
      <c r="C51" s="3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38" t="s">
        <v>51</v>
      </c>
      <c r="C52" s="39">
        <v>17886.0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40" t="s">
        <v>52</v>
      </c>
      <c r="C54" s="6"/>
      <c r="D54" s="6"/>
      <c r="E54" s="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41" t="s">
        <v>53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9"/>
      <c r="C56" s="9" t="s">
        <v>54</v>
      </c>
      <c r="D56" s="9" t="s">
        <v>55</v>
      </c>
      <c r="E56" s="9" t="s">
        <v>56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9" t="s">
        <v>57</v>
      </c>
      <c r="C57" s="42">
        <f>$C$29/100*C30</f>
        <v>0.4328094218</v>
      </c>
      <c r="D57" s="43">
        <f t="shared" ref="D57:D59" si="1">E57/$C$83</f>
        <v>0.319612199</v>
      </c>
      <c r="E57" s="44">
        <f>C57*C7</f>
        <v>48950.74561</v>
      </c>
      <c r="F57" s="1"/>
      <c r="G57" s="1"/>
      <c r="H57" s="26"/>
      <c r="I57" s="1"/>
      <c r="J57" s="1"/>
      <c r="K57" s="1"/>
      <c r="L57" s="1"/>
      <c r="M57" s="1"/>
      <c r="N57" s="1"/>
      <c r="O57" s="1"/>
      <c r="P57" s="1"/>
      <c r="Q57" s="1"/>
      <c r="R57" s="1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9" t="s">
        <v>58</v>
      </c>
      <c r="C58" s="42">
        <f>C31/C7</f>
        <v>0.02739168877</v>
      </c>
      <c r="D58" s="43">
        <f t="shared" si="1"/>
        <v>0.02022765088</v>
      </c>
      <c r="E58" s="27">
        <f t="shared" ref="E58:E59" si="2">C31</f>
        <v>3098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9" t="s">
        <v>59</v>
      </c>
      <c r="C59" s="42">
        <f>C32/C7</f>
        <v>0.07268788683</v>
      </c>
      <c r="D59" s="43">
        <f t="shared" si="1"/>
        <v>0.05367705549</v>
      </c>
      <c r="E59" s="27">
        <f t="shared" si="2"/>
        <v>8221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9" t="s">
        <v>60</v>
      </c>
      <c r="C60" s="45">
        <f t="shared" ref="C60:E60" si="3">SUM(C57:C59)</f>
        <v>0.5328889974</v>
      </c>
      <c r="D60" s="46">
        <f t="shared" si="3"/>
        <v>0.3935169054</v>
      </c>
      <c r="E60" s="47">
        <f t="shared" si="3"/>
        <v>60269.74561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9" t="s">
        <v>61</v>
      </c>
      <c r="C61" s="42">
        <f>C33/C7</f>
        <v>0.07152961981</v>
      </c>
      <c r="D61" s="43">
        <f>E61/$C$83</f>
        <v>0.05282172228</v>
      </c>
      <c r="E61" s="27">
        <f>C33</f>
        <v>8090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48" t="s">
        <v>62</v>
      </c>
      <c r="C62" s="45">
        <f t="shared" ref="C62:E62" si="4">C60+C61</f>
        <v>0.6044186172</v>
      </c>
      <c r="D62" s="46">
        <f t="shared" si="4"/>
        <v>0.4463386277</v>
      </c>
      <c r="E62" s="47">
        <f t="shared" si="4"/>
        <v>68359.74561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3"/>
      <c r="T62" s="3"/>
      <c r="U62" s="3"/>
      <c r="V62" s="3"/>
      <c r="W62" s="3"/>
      <c r="X62" s="3"/>
      <c r="Y62" s="3"/>
      <c r="Z62" s="3"/>
    </row>
    <row r="63" ht="6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41" t="s">
        <v>63</v>
      </c>
      <c r="C64" s="1"/>
      <c r="D64" s="1"/>
      <c r="E64" s="4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9"/>
      <c r="C65" s="9" t="s">
        <v>54</v>
      </c>
      <c r="D65" s="9" t="s">
        <v>55</v>
      </c>
      <c r="E65" s="9" t="s">
        <v>56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9" t="s">
        <v>64</v>
      </c>
      <c r="C66" s="50">
        <f>C47*12/C24*10</f>
        <v>132.7585492</v>
      </c>
      <c r="D66" s="43">
        <f t="shared" ref="D66:D68" si="5">E66/$C$83</f>
        <v>0.1984771105</v>
      </c>
      <c r="E66" s="51">
        <f>C66*C23*C25</f>
        <v>30398.09674</v>
      </c>
      <c r="F66" s="5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9" t="s">
        <v>48</v>
      </c>
      <c r="C67" s="50">
        <v>45.3</v>
      </c>
      <c r="D67" s="43">
        <f t="shared" si="5"/>
        <v>0.06772455076</v>
      </c>
      <c r="E67" s="51">
        <f>C67*C23*C25</f>
        <v>10372.46784</v>
      </c>
      <c r="F67" s="5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9" t="s">
        <v>65</v>
      </c>
      <c r="C68" s="50">
        <f>C49*C23/C24*10</f>
        <v>38.88399435</v>
      </c>
      <c r="D68" s="43">
        <f t="shared" si="5"/>
        <v>0.05813247349</v>
      </c>
      <c r="E68" s="27">
        <f>C68*C23*C25</f>
        <v>8903.377061</v>
      </c>
      <c r="F68" s="52"/>
      <c r="G68" s="5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48" t="s">
        <v>66</v>
      </c>
      <c r="C69" s="53">
        <f t="shared" ref="C69:E69" si="6">SUM(C66:C68)</f>
        <v>216.9425436</v>
      </c>
      <c r="D69" s="46">
        <f t="shared" si="6"/>
        <v>0.3243341347</v>
      </c>
      <c r="E69" s="54">
        <f t="shared" si="6"/>
        <v>49673.94164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3"/>
      <c r="T69" s="3"/>
      <c r="U69" s="3"/>
      <c r="V69" s="3"/>
      <c r="W69" s="3"/>
      <c r="X69" s="3"/>
      <c r="Y69" s="3"/>
      <c r="Z69" s="3"/>
    </row>
    <row r="70" ht="6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41" t="s">
        <v>67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9"/>
      <c r="C72" s="9" t="s">
        <v>54</v>
      </c>
      <c r="D72" s="9" t="s">
        <v>55</v>
      </c>
      <c r="E72" s="9" t="s">
        <v>56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9" t="s">
        <v>68</v>
      </c>
      <c r="C73" s="55">
        <f>C39/C8</f>
        <v>47.25481611</v>
      </c>
      <c r="D73" s="43">
        <f t="shared" ref="D73:D76" si="7">E73/$C$83</f>
        <v>0.07047031503</v>
      </c>
      <c r="E73" s="27">
        <f>C39</f>
        <v>10793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9" t="s">
        <v>69</v>
      </c>
      <c r="C74" s="55">
        <f>D39/C8</f>
        <v>14.04553415</v>
      </c>
      <c r="D74" s="43">
        <f t="shared" si="7"/>
        <v>0.0209458696</v>
      </c>
      <c r="E74" s="27">
        <f>D39</f>
        <v>3208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9" t="s">
        <v>70</v>
      </c>
      <c r="C75" s="55">
        <f>(C41+C42)/C8</f>
        <v>11.71190893</v>
      </c>
      <c r="D75" s="43">
        <f t="shared" si="7"/>
        <v>0.01746577344</v>
      </c>
      <c r="E75" s="27">
        <f>C41+C42</f>
        <v>2675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9" t="s">
        <v>48</v>
      </c>
      <c r="C76" s="55">
        <f>C43/C8</f>
        <v>2.456217163</v>
      </c>
      <c r="D76" s="43">
        <f t="shared" si="7"/>
        <v>0.003662915476</v>
      </c>
      <c r="E76" s="33">
        <f>C43</f>
        <v>561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48" t="s">
        <v>71</v>
      </c>
      <c r="C77" s="53">
        <f t="shared" ref="C77:E77" si="8">SUM(C73:C76)</f>
        <v>75.46847636</v>
      </c>
      <c r="D77" s="46">
        <f t="shared" si="8"/>
        <v>0.1125448736</v>
      </c>
      <c r="E77" s="56">
        <f t="shared" si="8"/>
        <v>17237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3"/>
      <c r="T77" s="3"/>
      <c r="U77" s="3"/>
      <c r="V77" s="3"/>
      <c r="W77" s="3"/>
      <c r="X77" s="3"/>
      <c r="Y77" s="3"/>
      <c r="Z77" s="3"/>
    </row>
    <row r="78" ht="6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41" t="s">
        <v>72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9"/>
      <c r="C80" s="9" t="s">
        <v>54</v>
      </c>
      <c r="D80" s="9" t="s">
        <v>55</v>
      </c>
      <c r="E80" s="9" t="s">
        <v>56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57" t="s">
        <v>73</v>
      </c>
      <c r="C81" s="58">
        <f>C52/C8</f>
        <v>78.30998249</v>
      </c>
      <c r="D81" s="59">
        <f>E81/$C$83</f>
        <v>0.116782364</v>
      </c>
      <c r="E81" s="61">
        <f>C52</f>
        <v>17886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62" t="s">
        <v>74</v>
      </c>
      <c r="C83" s="63">
        <f>E81+E77+E69+E62</f>
        <v>153156.6873</v>
      </c>
      <c r="D83" s="64">
        <f>D62+D69+D77+D81</f>
        <v>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3"/>
      <c r="T83" s="3"/>
      <c r="U83" s="3"/>
      <c r="V83" s="3"/>
      <c r="W83" s="3"/>
      <c r="X83" s="3"/>
      <c r="Y83" s="3"/>
      <c r="Z83" s="3"/>
    </row>
    <row r="84" ht="7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9" t="s">
        <v>75</v>
      </c>
      <c r="C85" s="5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9" t="s">
        <v>76</v>
      </c>
      <c r="C86" s="65">
        <f>C62</f>
        <v>0.6044186172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9" t="s">
        <v>77</v>
      </c>
      <c r="C87" s="65">
        <f>C69/10</f>
        <v>21.69425436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9" t="s">
        <v>78</v>
      </c>
      <c r="C88" s="50">
        <f>C77+C81</f>
        <v>153.7784588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62" t="s">
        <v>79</v>
      </c>
      <c r="C90" s="66">
        <f>C83/C7</f>
        <v>1.354170533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2" t="s">
        <v>80</v>
      </c>
      <c r="C91" s="44">
        <v>200.0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2" t="s">
        <v>81</v>
      </c>
      <c r="C92" s="67">
        <v>20.0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2" t="s">
        <v>82</v>
      </c>
      <c r="C93" s="44">
        <f>C92*12/50*C91</f>
        <v>960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62" t="s">
        <v>83</v>
      </c>
      <c r="C94" s="66">
        <f>C93/C7</f>
        <v>0.00848806366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68" t="s">
        <v>84</v>
      </c>
      <c r="C96" s="69">
        <f>C90+C94</f>
        <v>1.362658596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paperSize="9" scale="9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3.71"/>
    <col customWidth="1" min="3" max="3" width="18.29"/>
    <col customWidth="1" min="4" max="4" width="13.86"/>
    <col customWidth="1" min="5" max="5" width="12.43"/>
    <col customWidth="1" min="6" max="6" width="11.0"/>
    <col customWidth="1" min="7" max="18" width="9.14"/>
    <col customWidth="1" min="19" max="26" width="8.71"/>
  </cols>
  <sheetData>
    <row r="1" ht="12.7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3"/>
      <c r="T1" s="3"/>
      <c r="U1" s="3"/>
      <c r="V1" s="3"/>
      <c r="W1" s="3"/>
      <c r="X1" s="3"/>
      <c r="Y1" s="3"/>
      <c r="Z1" s="3"/>
    </row>
    <row r="2" ht="12.75" customHeight="1">
      <c r="A2" s="1"/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3"/>
      <c r="T2" s="3"/>
      <c r="U2" s="3"/>
      <c r="V2" s="3"/>
      <c r="W2" s="3"/>
      <c r="X2" s="3"/>
      <c r="Y2" s="3"/>
      <c r="Z2" s="3"/>
    </row>
    <row r="3" ht="12.75" customHeight="1">
      <c r="A3" s="1"/>
      <c r="B3" s="4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"/>
      <c r="T3" s="3"/>
      <c r="U3" s="3"/>
      <c r="V3" s="3"/>
      <c r="W3" s="3"/>
      <c r="X3" s="3"/>
      <c r="Y3" s="3"/>
      <c r="Z3" s="3"/>
    </row>
    <row r="4" ht="12.75" customHeight="1">
      <c r="A4" s="1"/>
      <c r="B4" s="5" t="s">
        <v>3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3"/>
      <c r="T4" s="3"/>
      <c r="U4" s="3"/>
      <c r="V4" s="3"/>
      <c r="W4" s="3"/>
      <c r="X4" s="3"/>
      <c r="Y4" s="3"/>
      <c r="Z4" s="3"/>
    </row>
    <row r="5" ht="12.75" customHeight="1">
      <c r="A5" s="1"/>
      <c r="B5" s="7" t="s">
        <v>4</v>
      </c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3"/>
      <c r="T5" s="3"/>
      <c r="U5" s="3"/>
      <c r="V5" s="3"/>
      <c r="W5" s="3"/>
      <c r="X5" s="3"/>
      <c r="Y5" s="3"/>
      <c r="Z5" s="3"/>
    </row>
    <row r="6" ht="6.0" customHeight="1">
      <c r="A6" s="1"/>
      <c r="B6" s="3"/>
      <c r="C6" s="3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3"/>
      <c r="T6" s="3"/>
      <c r="U6" s="3"/>
      <c r="V6" s="3"/>
      <c r="W6" s="3"/>
      <c r="X6" s="3"/>
      <c r="Y6" s="3"/>
      <c r="Z6" s="3"/>
    </row>
    <row r="7" ht="12.75" customHeight="1">
      <c r="A7" s="1"/>
      <c r="B7" s="9" t="s">
        <v>5</v>
      </c>
      <c r="C7" s="10">
        <v>98000.0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3"/>
      <c r="T7" s="3"/>
      <c r="U7" s="3"/>
      <c r="V7" s="3"/>
      <c r="W7" s="3"/>
      <c r="X7" s="3"/>
      <c r="Y7" s="3"/>
      <c r="Z7" s="3"/>
    </row>
    <row r="8" ht="12.75" customHeight="1">
      <c r="A8" s="1"/>
      <c r="B8" s="9" t="s">
        <v>6</v>
      </c>
      <c r="C8" s="11">
        <v>232.5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3"/>
      <c r="T8" s="3"/>
      <c r="U8" s="3"/>
      <c r="V8" s="3"/>
      <c r="W8" s="3"/>
      <c r="X8" s="3"/>
      <c r="Y8" s="3"/>
      <c r="Z8" s="3"/>
    </row>
    <row r="9" ht="12.75" customHeight="1">
      <c r="A9" s="1"/>
      <c r="B9" s="9" t="s">
        <v>7</v>
      </c>
      <c r="C9" s="11">
        <v>62.5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3"/>
      <c r="T9" s="3"/>
      <c r="U9" s="3"/>
      <c r="V9" s="3"/>
      <c r="W9" s="3"/>
      <c r="X9" s="3"/>
      <c r="Y9" s="3"/>
      <c r="Z9" s="3"/>
    </row>
    <row r="10" ht="12.75" customHeight="1">
      <c r="A10" s="1"/>
      <c r="B10" s="12" t="s">
        <v>8</v>
      </c>
      <c r="C10" s="13">
        <v>0.805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1"/>
      <c r="B11" s="14" t="s">
        <v>9</v>
      </c>
      <c r="C11" s="10">
        <v>25.0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1"/>
      <c r="B12" s="12" t="s">
        <v>10</v>
      </c>
      <c r="C12" s="13">
        <v>0.939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1"/>
      <c r="B13" s="15" t="s">
        <v>11</v>
      </c>
      <c r="C13" s="10" t="s">
        <v>13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1"/>
      <c r="B14" s="9" t="s">
        <v>14</v>
      </c>
      <c r="C14" s="16">
        <v>1.45</v>
      </c>
      <c r="D14" s="17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1"/>
      <c r="B15" s="15" t="s">
        <v>15</v>
      </c>
      <c r="C15" s="10">
        <v>6.7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1"/>
      <c r="B16" s="9" t="s">
        <v>16</v>
      </c>
      <c r="C16" s="10">
        <v>12.3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3"/>
      <c r="T16" s="3"/>
      <c r="U16" s="3"/>
      <c r="V16" s="3"/>
      <c r="W16" s="3"/>
      <c r="X16" s="3"/>
      <c r="Y16" s="3"/>
      <c r="Z16" s="3"/>
    </row>
    <row r="17" ht="6.0" customHeight="1">
      <c r="A17" s="1"/>
      <c r="B17" s="1"/>
      <c r="C17" s="18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"/>
      <c r="B18" s="7" t="s">
        <v>17</v>
      </c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3"/>
      <c r="T18" s="3"/>
      <c r="U18" s="3"/>
      <c r="V18" s="3"/>
      <c r="W18" s="3"/>
      <c r="X18" s="3"/>
      <c r="Y18" s="3"/>
      <c r="Z18" s="3"/>
    </row>
    <row r="19" ht="6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"/>
      <c r="B20" s="9" t="s">
        <v>18</v>
      </c>
      <c r="C20" s="9" t="s">
        <v>19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"/>
      <c r="B21" s="9" t="s">
        <v>20</v>
      </c>
      <c r="C21" s="19">
        <v>195.7</v>
      </c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"/>
      <c r="B22" s="9" t="s">
        <v>21</v>
      </c>
      <c r="C22" s="13">
        <v>0.659</v>
      </c>
      <c r="D22" s="1"/>
      <c r="E22" s="2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"/>
      <c r="B23" s="9" t="s">
        <v>22</v>
      </c>
      <c r="C23" s="19">
        <v>214.6</v>
      </c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"/>
      <c r="B24" s="9" t="s">
        <v>23</v>
      </c>
      <c r="C24" s="19">
        <v>2058.0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21" t="s">
        <v>24</v>
      </c>
      <c r="C25" s="22">
        <v>1.085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1"/>
      <c r="H26" s="23"/>
      <c r="I26" s="1"/>
      <c r="J26" s="1"/>
      <c r="K26" s="1"/>
      <c r="L26" s="1"/>
      <c r="M26" s="1"/>
      <c r="N26" s="1"/>
      <c r="O26" s="1"/>
      <c r="P26" s="1"/>
      <c r="Q26" s="1"/>
      <c r="R26" s="1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5" t="s">
        <v>25</v>
      </c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7" t="s">
        <v>26</v>
      </c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5" t="s">
        <v>27</v>
      </c>
      <c r="C29" s="24">
        <v>33.8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5" t="s">
        <v>28</v>
      </c>
      <c r="C30" s="25">
        <f>5.91/4.67</f>
        <v>1.265524625</v>
      </c>
      <c r="D30" s="1"/>
      <c r="E30" s="1"/>
      <c r="F30" s="1"/>
      <c r="G30" s="26"/>
      <c r="H30" s="26"/>
      <c r="I30" s="1"/>
      <c r="J30" s="1"/>
      <c r="K30" s="1"/>
      <c r="L30" s="1"/>
      <c r="M30" s="1"/>
      <c r="N30" s="1"/>
      <c r="O30" s="1"/>
      <c r="P30" s="1"/>
      <c r="Q30" s="1"/>
      <c r="R30" s="1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9" t="s">
        <v>29</v>
      </c>
      <c r="C31" s="27">
        <v>3101.0</v>
      </c>
      <c r="D31" s="1"/>
      <c r="E31" s="1"/>
      <c r="F31" s="1"/>
      <c r="G31" s="1"/>
      <c r="H31" s="26"/>
      <c r="I31" s="1"/>
      <c r="J31" s="1"/>
      <c r="K31" s="1"/>
      <c r="L31" s="1"/>
      <c r="M31" s="1"/>
      <c r="N31" s="1"/>
      <c r="O31" s="1"/>
      <c r="P31" s="1"/>
      <c r="Q31" s="1"/>
      <c r="R31" s="1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5" t="s">
        <v>30</v>
      </c>
      <c r="C32" s="27">
        <v>7278.0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9" t="s">
        <v>31</v>
      </c>
      <c r="C33" s="27">
        <v>5805.0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3"/>
      <c r="T33" s="3"/>
      <c r="U33" s="3"/>
      <c r="V33" s="3"/>
      <c r="W33" s="3"/>
      <c r="X33" s="3"/>
      <c r="Y33" s="3"/>
      <c r="Z33" s="3"/>
    </row>
    <row r="34" ht="9.0" customHeight="1">
      <c r="A34" s="1"/>
      <c r="B34" s="1"/>
      <c r="C34" s="18"/>
      <c r="D34" s="6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7" t="s">
        <v>32</v>
      </c>
      <c r="C35" s="6"/>
      <c r="D35" s="8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5"/>
      <c r="C36" s="9" t="s">
        <v>33</v>
      </c>
      <c r="D36" s="28" t="s">
        <v>34</v>
      </c>
      <c r="E36" s="1"/>
      <c r="F36" s="26"/>
      <c r="G36" s="26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9" t="s">
        <v>35</v>
      </c>
      <c r="C37" s="10">
        <v>75929.0</v>
      </c>
      <c r="D37" s="10">
        <v>27980.0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9" t="s">
        <v>36</v>
      </c>
      <c r="C38" s="13" t="s">
        <v>37</v>
      </c>
      <c r="D38" s="13" t="s">
        <v>40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9" t="s">
        <v>41</v>
      </c>
      <c r="C39" s="29">
        <v>10934.0</v>
      </c>
      <c r="D39" s="29">
        <v>3551.0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3"/>
      <c r="T39" s="3"/>
      <c r="U39" s="3"/>
      <c r="V39" s="3"/>
      <c r="W39" s="3"/>
      <c r="X39" s="3"/>
      <c r="Y39" s="3"/>
      <c r="Z39" s="3"/>
    </row>
    <row r="40" ht="9.0" customHeight="1">
      <c r="A40" s="1"/>
      <c r="B40" s="30"/>
      <c r="C40" s="31"/>
      <c r="D40" s="32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5" t="s">
        <v>42</v>
      </c>
      <c r="C41" s="29">
        <v>2598.0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5" t="s">
        <v>43</v>
      </c>
      <c r="C42" s="33">
        <v>411.0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5" t="s">
        <v>44</v>
      </c>
      <c r="C43" s="33">
        <v>577.0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3"/>
      <c r="T43" s="3"/>
      <c r="U43" s="3"/>
      <c r="V43" s="3"/>
      <c r="W43" s="3"/>
      <c r="X43" s="3"/>
      <c r="Y43" s="3"/>
      <c r="Z43" s="3"/>
    </row>
    <row r="44" ht="9.0" customHeight="1">
      <c r="A44" s="1"/>
      <c r="B44" s="1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7" t="s">
        <v>45</v>
      </c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9" t="s">
        <v>46</v>
      </c>
      <c r="C46" s="9" t="s">
        <v>19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9" t="s">
        <v>47</v>
      </c>
      <c r="C47" s="16">
        <v>2182.15</v>
      </c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9" t="s">
        <v>48</v>
      </c>
      <c r="C48" s="34">
        <v>0.4706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5" t="s">
        <v>49</v>
      </c>
      <c r="C49" s="19">
        <v>16.53</v>
      </c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3"/>
      <c r="T49" s="3"/>
      <c r="U49" s="3"/>
      <c r="V49" s="3"/>
      <c r="W49" s="3"/>
      <c r="X49" s="3"/>
      <c r="Y49" s="3"/>
      <c r="Z49" s="3"/>
    </row>
    <row r="50" ht="9.0" customHeight="1">
      <c r="A50" s="1"/>
      <c r="B50" s="3"/>
      <c r="C50" s="3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36" t="s">
        <v>50</v>
      </c>
      <c r="C51" s="37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38" t="s">
        <v>51</v>
      </c>
      <c r="C52" s="39">
        <v>17820.0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40" t="s">
        <v>52</v>
      </c>
      <c r="C54" s="6"/>
      <c r="D54" s="6"/>
      <c r="E54" s="6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41" t="s">
        <v>53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9"/>
      <c r="C56" s="9" t="s">
        <v>54</v>
      </c>
      <c r="D56" s="9" t="s">
        <v>55</v>
      </c>
      <c r="E56" s="9" t="s">
        <v>56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9" t="s">
        <v>57</v>
      </c>
      <c r="C57" s="42">
        <f>$C$29/100*C30</f>
        <v>0.4277473233</v>
      </c>
      <c r="D57" s="43">
        <f t="shared" ref="D57:D59" si="1">E57/$C$83</f>
        <v>0.3033628443</v>
      </c>
      <c r="E57" s="44">
        <f>C57*C7</f>
        <v>41919.23769</v>
      </c>
      <c r="F57" s="1"/>
      <c r="G57" s="1"/>
      <c r="H57" s="26"/>
      <c r="I57" s="1"/>
      <c r="J57" s="1"/>
      <c r="K57" s="1"/>
      <c r="L57" s="1"/>
      <c r="M57" s="1"/>
      <c r="N57" s="1"/>
      <c r="O57" s="1"/>
      <c r="P57" s="1"/>
      <c r="Q57" s="1"/>
      <c r="R57" s="1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9" t="s">
        <v>58</v>
      </c>
      <c r="C58" s="42">
        <f>C31/C7</f>
        <v>0.03164285714</v>
      </c>
      <c r="D58" s="43">
        <f t="shared" si="1"/>
        <v>0.02244144293</v>
      </c>
      <c r="E58" s="27">
        <f t="shared" ref="E58:E59" si="2">C31</f>
        <v>3101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9" t="s">
        <v>59</v>
      </c>
      <c r="C59" s="42">
        <f>C32/C7</f>
        <v>0.07426530612</v>
      </c>
      <c r="D59" s="43">
        <f t="shared" si="1"/>
        <v>0.05266972643</v>
      </c>
      <c r="E59" s="27">
        <f t="shared" si="2"/>
        <v>7278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9" t="s">
        <v>60</v>
      </c>
      <c r="C60" s="45">
        <f t="shared" ref="C60:E60" si="3">SUM(C57:C59)</f>
        <v>0.5336554866</v>
      </c>
      <c r="D60" s="46">
        <f t="shared" si="3"/>
        <v>0.3784740137</v>
      </c>
      <c r="E60" s="47">
        <f t="shared" si="3"/>
        <v>52298.23769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9" t="s">
        <v>61</v>
      </c>
      <c r="C61" s="42">
        <f>C33/C7</f>
        <v>0.05923469388</v>
      </c>
      <c r="D61" s="43">
        <f>E61/$C$83</f>
        <v>0.04200986011</v>
      </c>
      <c r="E61" s="27">
        <f>C33</f>
        <v>5805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48" t="s">
        <v>62</v>
      </c>
      <c r="C62" s="45">
        <f t="shared" ref="C62:E62" si="4">C60+C61</f>
        <v>0.5928901805</v>
      </c>
      <c r="D62" s="46">
        <f t="shared" si="4"/>
        <v>0.4204838738</v>
      </c>
      <c r="E62" s="47">
        <f t="shared" si="4"/>
        <v>58103.23769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3"/>
      <c r="T62" s="3"/>
      <c r="U62" s="3"/>
      <c r="V62" s="3"/>
      <c r="W62" s="3"/>
      <c r="X62" s="3"/>
      <c r="Y62" s="3"/>
      <c r="Z62" s="3"/>
    </row>
    <row r="63" ht="6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41" t="s">
        <v>63</v>
      </c>
      <c r="C64" s="1"/>
      <c r="D64" s="1"/>
      <c r="E64" s="49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9"/>
      <c r="C65" s="9" t="s">
        <v>54</v>
      </c>
      <c r="D65" s="9" t="s">
        <v>55</v>
      </c>
      <c r="E65" s="9" t="s">
        <v>56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9" t="s">
        <v>64</v>
      </c>
      <c r="C66" s="50">
        <f>C47*12/C24*10</f>
        <v>127.2390671</v>
      </c>
      <c r="D66" s="43">
        <f t="shared" ref="D66:D68" si="5">E66/$C$83</f>
        <v>0.2144020548</v>
      </c>
      <c r="E66" s="51">
        <f>C66*C23*C25</f>
        <v>29626.47161</v>
      </c>
      <c r="F66" s="5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9" t="s">
        <v>48</v>
      </c>
      <c r="C67" s="50">
        <v>45.3</v>
      </c>
      <c r="D67" s="43">
        <f t="shared" si="5"/>
        <v>0.07633200484</v>
      </c>
      <c r="E67" s="51">
        <f>C67*C23*C25</f>
        <v>10547.6973</v>
      </c>
      <c r="F67" s="5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9" t="s">
        <v>65</v>
      </c>
      <c r="C68" s="50">
        <f>C49*C23/C24*10</f>
        <v>17.23682216</v>
      </c>
      <c r="D68" s="43">
        <f t="shared" si="5"/>
        <v>0.02904461793</v>
      </c>
      <c r="E68" s="27">
        <f>C68*C23*C25</f>
        <v>4013.438908</v>
      </c>
      <c r="F68" s="52"/>
      <c r="G68" s="5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48" t="s">
        <v>66</v>
      </c>
      <c r="C69" s="53">
        <f t="shared" ref="C69:E69" si="6">SUM(C66:C68)</f>
        <v>189.7758892</v>
      </c>
      <c r="D69" s="46">
        <f t="shared" si="6"/>
        <v>0.3197786776</v>
      </c>
      <c r="E69" s="54">
        <f t="shared" si="6"/>
        <v>44187.60782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3"/>
      <c r="T69" s="3"/>
      <c r="U69" s="3"/>
      <c r="V69" s="3"/>
      <c r="W69" s="3"/>
      <c r="X69" s="3"/>
      <c r="Y69" s="3"/>
      <c r="Z69" s="3"/>
    </row>
    <row r="70" ht="6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41" t="s">
        <v>67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9"/>
      <c r="C72" s="9" t="s">
        <v>54</v>
      </c>
      <c r="D72" s="9" t="s">
        <v>55</v>
      </c>
      <c r="E72" s="9" t="s">
        <v>56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9" t="s">
        <v>68</v>
      </c>
      <c r="C73" s="55">
        <f>C39/C8</f>
        <v>47.02795699</v>
      </c>
      <c r="D73" s="43">
        <f t="shared" ref="D73:D76" si="7">E73/$C$83</f>
        <v>0.07912761593</v>
      </c>
      <c r="E73" s="27">
        <f>C39</f>
        <v>10934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9" t="s">
        <v>69</v>
      </c>
      <c r="C74" s="55">
        <f>D39/C8</f>
        <v>15.27311828</v>
      </c>
      <c r="D74" s="43">
        <f t="shared" si="7"/>
        <v>0.02569802123</v>
      </c>
      <c r="E74" s="27">
        <f>D39</f>
        <v>3551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9" t="s">
        <v>70</v>
      </c>
      <c r="C75" s="55">
        <f>(C41+C42)/C8</f>
        <v>12.94193548</v>
      </c>
      <c r="D75" s="43">
        <f t="shared" si="7"/>
        <v>0.02177565359</v>
      </c>
      <c r="E75" s="27">
        <f>C41+C42</f>
        <v>3009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9" t="s">
        <v>48</v>
      </c>
      <c r="C76" s="55">
        <f>C43/C8</f>
        <v>2.48172043</v>
      </c>
      <c r="D76" s="43">
        <f t="shared" si="7"/>
        <v>0.004175657069</v>
      </c>
      <c r="E76" s="33">
        <f>C43</f>
        <v>577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48" t="s">
        <v>71</v>
      </c>
      <c r="C77" s="53">
        <f t="shared" ref="C77:E77" si="8">SUM(C73:C76)</f>
        <v>77.72473118</v>
      </c>
      <c r="D77" s="46">
        <f t="shared" si="8"/>
        <v>0.1307769478</v>
      </c>
      <c r="E77" s="56">
        <f t="shared" si="8"/>
        <v>18071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3"/>
      <c r="T77" s="3"/>
      <c r="U77" s="3"/>
      <c r="V77" s="3"/>
      <c r="W77" s="3"/>
      <c r="X77" s="3"/>
      <c r="Y77" s="3"/>
      <c r="Z77" s="3"/>
    </row>
    <row r="78" ht="6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41" t="s">
        <v>72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9"/>
      <c r="C80" s="9" t="s">
        <v>54</v>
      </c>
      <c r="D80" s="9" t="s">
        <v>55</v>
      </c>
      <c r="E80" s="9" t="s">
        <v>56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57" t="s">
        <v>73</v>
      </c>
      <c r="C81" s="58">
        <f>C52/C8</f>
        <v>76.64516129</v>
      </c>
      <c r="D81" s="60">
        <f>E81/$C$83</f>
        <v>0.1289605008</v>
      </c>
      <c r="E81" s="61">
        <f>C52</f>
        <v>17820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62" t="s">
        <v>74</v>
      </c>
      <c r="C83" s="63">
        <f>E81+E77+E69+E62</f>
        <v>138181.8455</v>
      </c>
      <c r="D83" s="64">
        <f>D62+D69+D77+D81</f>
        <v>1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3"/>
      <c r="T83" s="3"/>
      <c r="U83" s="3"/>
      <c r="V83" s="3"/>
      <c r="W83" s="3"/>
      <c r="X83" s="3"/>
      <c r="Y83" s="3"/>
      <c r="Z83" s="3"/>
    </row>
    <row r="84" ht="7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9" t="s">
        <v>75</v>
      </c>
      <c r="C85" s="5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9" t="s">
        <v>76</v>
      </c>
      <c r="C86" s="65">
        <f>C62</f>
        <v>0.5928901805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9" t="s">
        <v>77</v>
      </c>
      <c r="C87" s="65">
        <f>C69/10</f>
        <v>18.97758892</v>
      </c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9" t="s">
        <v>78</v>
      </c>
      <c r="C88" s="50">
        <f>C77+C81</f>
        <v>154.3698925</v>
      </c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62" t="s">
        <v>79</v>
      </c>
      <c r="C90" s="66">
        <f>C83/C7</f>
        <v>1.410018832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2" t="s">
        <v>80</v>
      </c>
      <c r="C91" s="44">
        <v>200.0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2" t="s">
        <v>81</v>
      </c>
      <c r="C92" s="67">
        <v>20.0</v>
      </c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2" t="s">
        <v>82</v>
      </c>
      <c r="C93" s="44">
        <f>C92*12/50*C91</f>
        <v>960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62" t="s">
        <v>83</v>
      </c>
      <c r="C94" s="66">
        <f>C93/C7</f>
        <v>0.009795918367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68" t="s">
        <v>84</v>
      </c>
      <c r="C96" s="69">
        <f>C90+C94</f>
        <v>1.41981475</v>
      </c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