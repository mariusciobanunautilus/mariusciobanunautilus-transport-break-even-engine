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ngin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Vehicle Classes" sheetId="5" state="visible" r:id="rId5"/>
    <sheet xmlns:r="http://schemas.openxmlformats.org/officeDocument/2006/relationships" name="Pricing Scenarios" sheetId="6" state="visible" r:id="rId6"/>
    <sheet xmlns:r="http://schemas.openxmlformats.org/officeDocument/2006/relationships" name="Company &amp; Tax Profile" sheetId="7" state="visible" r:id="rId7"/>
    <sheet xmlns:r="http://schemas.openxmlformats.org/officeDocument/2006/relationships" name="Tax Rules" sheetId="8" state="visible" r:id="rId8"/>
    <sheet xmlns:r="http://schemas.openxmlformats.org/officeDocument/2006/relationships" name="Cascade Lists" sheetId="9" state="visible" r:id="rId9"/>
    <sheet xmlns:r="http://schemas.openxmlformats.org/officeDocument/2006/relationships" name="Dropdown Helper" sheetId="10" state="visible" r:id="rId10"/>
  </sheets>
  <definedNames/>
</workbook>
</file>

<file path=xl/styles.xml><?xml version="1.0" encoding="utf-8"?>
<styleSheet xmlns="http://schemas.openxmlformats.org/spreadsheetml/2006/main">
  <numFmts count="11">
    <numFmt numFmtId="164" formatCode="0.0%"/>
    <numFmt numFmtId="165" formatCode="0.000"/>
    <numFmt numFmtId="166" formatCode="0.0"/>
    <numFmt numFmtId="167" formatCode="#,##0;[Red](#,##0);-"/>
    <numFmt numFmtId="168" formatCode="€0.000"/>
    <numFmt numFmtId="169" formatCode="€#,##0;[Red](€#,##0);-"/>
    <numFmt numFmtId="170" formatCode="€0.0000"/>
    <numFmt numFmtId="171" formatCode="€#,##0.00;[Red](€#,##0.00);-"/>
    <numFmt numFmtId="172" formatCode="€#,##0.000"/>
    <numFmt numFmtId="173" formatCode="0.00%;[Red](0.00%);-"/>
    <numFmt numFmtId="174" formatCode="€0.000;[Red](€0.000);-"/>
  </numFmts>
  <fonts count="17">
    <font>
      <name val="Carlito"/>
      <sz val="11"/>
    </font>
    <font>
      <name val="Carlito"/>
      <b val="1"/>
      <color rgb="00FFFFFF"/>
      <sz val="16"/>
    </font>
    <font>
      <name val="Carlito"/>
      <b val="1"/>
      <sz val="11"/>
    </font>
    <font>
      <name val="Carlito"/>
      <b val="1"/>
      <color rgb="00FFFFFF"/>
      <sz val="11"/>
    </font>
    <font>
      <name val="Carlito"/>
      <b val="1"/>
      <color rgb="00FFFFFF"/>
      <sz val="14"/>
    </font>
    <font>
      <name val="Carlito"/>
      <i val="1"/>
      <color rgb="00374151"/>
      <sz val="11"/>
    </font>
    <font>
      <name val="Carlito"/>
      <color rgb="000000FF"/>
      <sz val="11"/>
    </font>
    <font>
      <name val="Carlito"/>
      <color rgb="00000000"/>
      <sz val="11"/>
    </font>
    <font>
      <name val="Carlito"/>
      <color rgb="00008000"/>
      <sz val="11"/>
    </font>
    <font>
      <name val="Carlito"/>
      <i val="1"/>
      <color rgb="0092400E"/>
      <sz val="11"/>
    </font>
    <font>
      <name val="Carlito"/>
      <b val="1"/>
      <color rgb="00FFFFFF"/>
      <sz val="15"/>
    </font>
    <font>
      <name val="Carlito"/>
      <b val="1"/>
      <color rgb="000000FF"/>
      <sz val="11"/>
    </font>
    <font>
      <name val="Carlito"/>
      <b val="1"/>
      <color rgb="00008000"/>
      <sz val="11"/>
    </font>
    <font>
      <b val="1"/>
    </font>
    <font>
      <color rgb="00008000"/>
    </font>
    <font>
      <color rgb="000000FF"/>
    </font>
    <font>
      <b val="1"/>
      <color rgb="00FFFFFF"/>
    </font>
  </fonts>
  <fills count="2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EAF2F8"/>
      </patternFill>
    </fill>
    <fill>
      <patternFill patternType="solid">
        <fgColor rgb="00F6F8FA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111827"/>
      </patternFill>
    </fill>
    <fill>
      <patternFill patternType="solid">
        <fgColor rgb="000F766E"/>
      </patternFill>
    </fill>
    <fill>
      <patternFill patternType="solid">
        <fgColor rgb="00FFF2CC"/>
      </patternFill>
    </fill>
    <fill>
      <patternFill patternType="solid">
        <fgColor rgb="00F8FAFC"/>
      </patternFill>
    </fill>
    <fill>
      <patternFill patternType="solid">
        <fgColor rgb="001F2937"/>
      </patternFill>
    </fill>
  </fills>
  <borders count="21">
    <border/>
    <border/>
    <border>
      <right>
        <color rgb="00E5E7EB"/>
      </right>
      <bottom>
        <color rgb="00E5E7EB"/>
      </bottom>
    </border>
    <border>
      <left>
        <color rgb="00E5E7EB"/>
      </left>
      <right>
        <color rgb="00E5E7EB"/>
      </right>
      <bottom>
        <color rgb="00E5E7EB"/>
      </bottom>
    </border>
    <border>
      <left>
        <color rgb="00E5E7EB"/>
      </left>
      <bottom>
        <color rgb="00E5E7EB"/>
      </bottom>
    </border>
    <border>
      <right>
        <color rgb="00E5E7EB"/>
      </right>
      <top>
        <color rgb="00E5E7EB"/>
      </top>
      <bottom>
        <color rgb="00E5E7EB"/>
      </bottom>
    </border>
    <border>
      <left>
        <color rgb="00E5E7EB"/>
      </left>
      <right>
        <color rgb="00E5E7EB"/>
      </right>
      <top>
        <color rgb="00E5E7EB"/>
      </top>
      <bottom>
        <color rgb="00E5E7EB"/>
      </bottom>
    </border>
    <border>
      <left>
        <color rgb="00E5E7EB"/>
      </left>
      <top>
        <color rgb="00E5E7EB"/>
      </top>
      <bottom>
        <color rgb="00E5E7EB"/>
      </bottom>
    </border>
    <border>
      <right>
        <color rgb="00E5E7EB"/>
      </right>
      <top>
        <color rgb="00E5E7EB"/>
      </top>
    </border>
    <border>
      <left>
        <color rgb="00E5E7EB"/>
      </left>
      <right>
        <color rgb="00E5E7EB"/>
      </right>
      <top>
        <color rgb="00E5E7EB"/>
      </top>
    </border>
    <border>
      <left>
        <color rgb="00E5E7EB"/>
      </left>
      <top>
        <color rgb="00E5E7EB"/>
      </top>
    </border>
    <border>
      <right>
        <color rgb="00D1D5DB"/>
      </right>
      <bottom>
        <color rgb="00D1D5DB"/>
      </bottom>
    </border>
    <border>
      <left>
        <color rgb="00D1D5DB"/>
      </left>
      <right>
        <color rgb="00D1D5DB"/>
      </right>
      <bottom>
        <color rgb="00D1D5DB"/>
      </bottom>
    </border>
    <border>
      <left>
        <color rgb="00D1D5DB"/>
      </left>
      <bottom>
        <color rgb="00D1D5DB"/>
      </bottom>
    </border>
    <border>
      <right>
        <color rgb="00D1D5DB"/>
      </right>
      <top>
        <color rgb="00D1D5DB"/>
      </top>
      <bottom>
        <color rgb="00D1D5DB"/>
      </bottom>
    </border>
    <border>
      <left>
        <color rgb="00D1D5DB"/>
      </left>
      <right>
        <color rgb="00D1D5DB"/>
      </right>
      <top>
        <color rgb="00D1D5DB"/>
      </top>
      <bottom>
        <color rgb="00D1D5DB"/>
      </bottom>
    </border>
    <border>
      <left>
        <color rgb="00D1D5DB"/>
      </left>
      <top>
        <color rgb="00D1D5DB"/>
      </top>
      <bottom>
        <color rgb="00D1D5DB"/>
      </bottom>
    </border>
    <border>
      <right>
        <color rgb="00D1D5DB"/>
      </right>
      <top>
        <color rgb="00D1D5DB"/>
      </top>
    </border>
    <border>
      <left>
        <color rgb="00D1D5DB"/>
      </left>
      <right>
        <color rgb="00D1D5DB"/>
      </right>
      <top>
        <color rgb="00D1D5DB"/>
      </top>
    </border>
    <border>
      <left>
        <color rgb="00D1D5DB"/>
      </left>
      <top>
        <color rgb="00D1D5DB"/>
      </top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5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0" fillId="5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164" fontId="0" fillId="5" borderId="1" applyAlignment="1" pivotButton="0" quotePrefix="0" xfId="0">
      <alignment wrapText="1"/>
    </xf>
    <xf numFmtId="4" fontId="0" fillId="5" borderId="0" applyAlignment="1" pivotButton="0" quotePrefix="0" xfId="0">
      <alignment wrapText="1"/>
    </xf>
    <xf numFmtId="4" fontId="0" fillId="5" borderId="1" applyAlignment="1" pivotButton="0" quotePrefix="0" xfId="0">
      <alignment wrapText="1"/>
    </xf>
    <xf numFmtId="0" fontId="0" fillId="6" borderId="0" pivotButton="0" quotePrefix="0" xfId="0"/>
    <xf numFmtId="0" fontId="0" fillId="6" borderId="1" pivotButton="0" quotePrefix="0" xfId="0"/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4" fontId="0" fillId="6" borderId="0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4" fontId="0" fillId="6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6" borderId="0" applyAlignment="1" pivotButton="0" quotePrefix="0" xfId="0">
      <alignment wrapText="1"/>
    </xf>
    <xf numFmtId="164" fontId="0" fillId="6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5" fontId="0" fillId="6" borderId="0" applyAlignment="1" pivotButton="0" quotePrefix="0" xfId="0">
      <alignment wrapText="1"/>
    </xf>
    <xf numFmtId="165" fontId="0" fillId="6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2" fontId="3" fillId="4" borderId="0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3" fontId="0" fillId="0" borderId="0" pivotButton="0" quotePrefix="0" xfId="0"/>
    <xf numFmtId="3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0" fillId="0" borderId="0" pivotButton="0" quotePrefix="0" xfId="0"/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5" fillId="9" borderId="0" pivotButton="0" quotePrefix="0" xfId="0"/>
    <xf numFmtId="0" fontId="5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3" fillId="10" borderId="0" applyAlignment="1" pivotButton="0" quotePrefix="0" xfId="0">
      <alignment horizontal="center" wrapText="1"/>
    </xf>
    <xf numFmtId="0" fontId="3" fillId="1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6" fillId="0" borderId="9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9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0" borderId="6" applyAlignment="1" pivotButton="0" quotePrefix="0" xfId="0">
      <alignment vertical="top" wrapText="1"/>
    </xf>
    <xf numFmtId="0" fontId="8" fillId="0" borderId="9" applyAlignment="1" pivotButton="0" quotePrefix="0" xfId="0">
      <alignment vertical="top" wrapText="1"/>
    </xf>
    <xf numFmtId="166" fontId="6" fillId="0" borderId="3" applyAlignment="1" pivotButton="0" quotePrefix="0" xfId="0">
      <alignment vertical="top" wrapText="1"/>
    </xf>
    <xf numFmtId="166" fontId="6" fillId="0" borderId="6" applyAlignment="1" pivotButton="0" quotePrefix="0" xfId="0">
      <alignment vertical="top" wrapText="1"/>
    </xf>
    <xf numFmtId="166" fontId="6" fillId="0" borderId="9" applyAlignment="1" pivotButton="0" quotePrefix="0" xfId="0">
      <alignment vertical="top" wrapText="1"/>
    </xf>
    <xf numFmtId="164" fontId="6" fillId="0" borderId="3" applyAlignment="1" pivotButton="0" quotePrefix="0" xfId="0">
      <alignment vertical="top" wrapText="1"/>
    </xf>
    <xf numFmtId="164" fontId="6" fillId="0" borderId="6" applyAlignment="1" pivotButton="0" quotePrefix="0" xfId="0">
      <alignment vertical="top" wrapText="1"/>
    </xf>
    <xf numFmtId="164" fontId="6" fillId="0" borderId="9" applyAlignment="1" pivotButton="0" quotePrefix="0" xfId="0">
      <alignment vertical="top" wrapText="1"/>
    </xf>
    <xf numFmtId="166" fontId="7" fillId="0" borderId="3" applyAlignment="1" pivotButton="0" quotePrefix="0" xfId="0">
      <alignment vertical="top" wrapText="1"/>
    </xf>
    <xf numFmtId="166" fontId="7" fillId="0" borderId="6" applyAlignment="1" pivotButton="0" quotePrefix="0" xfId="0">
      <alignment vertical="top" wrapText="1"/>
    </xf>
    <xf numFmtId="166" fontId="7" fillId="0" borderId="9" applyAlignment="1" pivotButton="0" quotePrefix="0" xfId="0">
      <alignment vertical="top" wrapText="1"/>
    </xf>
    <xf numFmtId="167" fontId="6" fillId="0" borderId="3" applyAlignment="1" pivotButton="0" quotePrefix="0" xfId="0">
      <alignment vertical="top" wrapText="1"/>
    </xf>
    <xf numFmtId="167" fontId="7" fillId="0" borderId="3" applyAlignment="1" pivotButton="0" quotePrefix="0" xfId="0">
      <alignment vertical="top" wrapText="1"/>
    </xf>
    <xf numFmtId="167" fontId="6" fillId="0" borderId="6" applyAlignment="1" pivotButton="0" quotePrefix="0" xfId="0">
      <alignment vertical="top" wrapText="1"/>
    </xf>
    <xf numFmtId="167" fontId="7" fillId="0" borderId="6" applyAlignment="1" pivotButton="0" quotePrefix="0" xfId="0">
      <alignment vertical="top" wrapText="1"/>
    </xf>
    <xf numFmtId="167" fontId="6" fillId="0" borderId="9" applyAlignment="1" pivotButton="0" quotePrefix="0" xfId="0">
      <alignment vertical="top" wrapText="1"/>
    </xf>
    <xf numFmtId="167" fontId="7" fillId="0" borderId="9" applyAlignment="1" pivotButton="0" quotePrefix="0" xfId="0">
      <alignment vertical="top" wrapText="1"/>
    </xf>
    <xf numFmtId="168" fontId="8" fillId="0" borderId="3" applyAlignment="1" pivotButton="0" quotePrefix="0" xfId="0">
      <alignment vertical="top" wrapText="1"/>
    </xf>
    <xf numFmtId="168" fontId="7" fillId="0" borderId="3" applyAlignment="1" pivotButton="0" quotePrefix="0" xfId="0">
      <alignment vertical="top" wrapText="1"/>
    </xf>
    <xf numFmtId="168" fontId="8" fillId="0" borderId="6" applyAlignment="1" pivotButton="0" quotePrefix="0" xfId="0">
      <alignment vertical="top" wrapText="1"/>
    </xf>
    <xf numFmtId="168" fontId="7" fillId="0" borderId="6" applyAlignment="1" pivotButton="0" quotePrefix="0" xfId="0">
      <alignment vertical="top" wrapText="1"/>
    </xf>
    <xf numFmtId="168" fontId="8" fillId="0" borderId="9" applyAlignment="1" pivotButton="0" quotePrefix="0" xfId="0">
      <alignment vertical="top" wrapText="1"/>
    </xf>
    <xf numFmtId="168" fontId="7" fillId="0" borderId="9" applyAlignment="1" pivotButton="0" quotePrefix="0" xfId="0">
      <alignment vertical="top" wrapText="1"/>
    </xf>
    <xf numFmtId="168" fontId="6" fillId="0" borderId="3" applyAlignment="1" pivotButton="0" quotePrefix="0" xfId="0">
      <alignment vertical="top" wrapText="1"/>
    </xf>
    <xf numFmtId="168" fontId="6" fillId="0" borderId="6" applyAlignment="1" pivotButton="0" quotePrefix="0" xfId="0">
      <alignment vertical="top" wrapText="1"/>
    </xf>
    <xf numFmtId="168" fontId="6" fillId="0" borderId="9" applyAlignment="1" pivotButton="0" quotePrefix="0" xfId="0">
      <alignment vertical="top" wrapText="1"/>
    </xf>
    <xf numFmtId="169" fontId="7" fillId="0" borderId="3" applyAlignment="1" pivotButton="0" quotePrefix="0" xfId="0">
      <alignment vertical="top" wrapText="1"/>
    </xf>
    <xf numFmtId="169" fontId="6" fillId="0" borderId="3" applyAlignment="1" pivotButton="0" quotePrefix="0" xfId="0">
      <alignment vertical="top" wrapText="1"/>
    </xf>
    <xf numFmtId="169" fontId="7" fillId="0" borderId="6" applyAlignment="1" pivotButton="0" quotePrefix="0" xfId="0">
      <alignment vertical="top" wrapText="1"/>
    </xf>
    <xf numFmtId="169" fontId="6" fillId="0" borderId="6" applyAlignment="1" pivotButton="0" quotePrefix="0" xfId="0">
      <alignment vertical="top" wrapText="1"/>
    </xf>
    <xf numFmtId="169" fontId="7" fillId="0" borderId="9" applyAlignment="1" pivotButton="0" quotePrefix="0" xfId="0">
      <alignment vertical="top" wrapText="1"/>
    </xf>
    <xf numFmtId="169" fontId="6" fillId="0" borderId="9" applyAlignment="1" pivotButton="0" quotePrefix="0" xfId="0">
      <alignment vertical="top" wrapText="1"/>
    </xf>
    <xf numFmtId="170" fontId="7" fillId="0" borderId="3" applyAlignment="1" pivotButton="0" quotePrefix="0" xfId="0">
      <alignment vertical="top" wrapText="1"/>
    </xf>
    <xf numFmtId="170" fontId="7" fillId="0" borderId="6" applyAlignment="1" pivotButton="0" quotePrefix="0" xfId="0">
      <alignment vertical="top" wrapText="1"/>
    </xf>
    <xf numFmtId="170" fontId="7" fillId="0" borderId="9" applyAlignment="1" pivotButton="0" quotePrefix="0" xfId="0">
      <alignment vertical="top" wrapText="1"/>
    </xf>
    <xf numFmtId="0" fontId="3" fillId="8" borderId="0" pivotButton="0" quotePrefix="0" xfId="0"/>
    <xf numFmtId="0" fontId="3" fillId="8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166" fontId="0" fillId="0" borderId="3" applyAlignment="1" pivotButton="0" quotePrefix="0" xfId="0">
      <alignment vertical="top" wrapText="1"/>
    </xf>
    <xf numFmtId="166" fontId="0" fillId="0" borderId="6" applyAlignment="1" pivotButton="0" quotePrefix="0" xfId="0">
      <alignment vertical="top" wrapText="1"/>
    </xf>
    <xf numFmtId="166" fontId="0" fillId="0" borderId="9" applyAlignment="1" pivotButton="0" quotePrefix="0" xfId="0">
      <alignment vertical="top" wrapText="1"/>
    </xf>
    <xf numFmtId="167" fontId="0" fillId="0" borderId="3" applyAlignment="1" pivotButton="0" quotePrefix="0" xfId="0">
      <alignment vertical="top" wrapText="1"/>
    </xf>
    <xf numFmtId="167" fontId="0" fillId="0" borderId="6" applyAlignment="1" pivotButton="0" quotePrefix="0" xfId="0">
      <alignment vertical="top" wrapText="1"/>
    </xf>
    <xf numFmtId="167" fontId="0" fillId="0" borderId="9" applyAlignment="1" pivotButton="0" quotePrefix="0" xfId="0">
      <alignment vertical="top" wrapText="1"/>
    </xf>
    <xf numFmtId="169" fontId="0" fillId="0" borderId="3" applyAlignment="1" pivotButton="0" quotePrefix="0" xfId="0">
      <alignment vertical="top" wrapText="1"/>
    </xf>
    <xf numFmtId="169" fontId="0" fillId="0" borderId="6" applyAlignment="1" pivotButton="0" quotePrefix="0" xfId="0">
      <alignment vertical="top" wrapText="1"/>
    </xf>
    <xf numFmtId="169" fontId="0" fillId="0" borderId="9" applyAlignment="1" pivotButton="0" quotePrefix="0" xfId="0">
      <alignment vertical="top" wrapText="1"/>
    </xf>
    <xf numFmtId="168" fontId="0" fillId="0" borderId="3" applyAlignment="1" pivotButton="0" quotePrefix="0" xfId="0">
      <alignment vertical="top" wrapText="1"/>
    </xf>
    <xf numFmtId="168" fontId="0" fillId="0" borderId="6" applyAlignment="1" pivotButton="0" quotePrefix="0" xfId="0">
      <alignment vertical="top" wrapText="1"/>
    </xf>
    <xf numFmtId="168" fontId="0" fillId="0" borderId="9" applyAlignment="1" pivotButton="0" quotePrefix="0" xfId="0">
      <alignment vertical="top" wrapText="1"/>
    </xf>
    <xf numFmtId="170" fontId="0" fillId="0" borderId="3" applyAlignment="1" pivotButton="0" quotePrefix="0" xfId="0">
      <alignment vertical="top" wrapText="1"/>
    </xf>
    <xf numFmtId="170" fontId="0" fillId="0" borderId="6" applyAlignment="1" pivotButton="0" quotePrefix="0" xfId="0">
      <alignment vertical="top" wrapText="1"/>
    </xf>
    <xf numFmtId="170" fontId="0" fillId="0" borderId="9" applyAlignment="1" pivotButton="0" quotePrefix="0" xfId="0">
      <alignment vertical="top" wrapText="1"/>
    </xf>
    <xf numFmtId="9" fontId="3" fillId="10" borderId="0" applyAlignment="1" pivotButton="0" quotePrefix="0" xfId="0">
      <alignment horizontal="center"/>
    </xf>
    <xf numFmtId="170" fontId="0" fillId="0" borderId="3" pivotButton="0" quotePrefix="0" xfId="0"/>
    <xf numFmtId="170" fontId="0" fillId="0" borderId="6" pivotButton="0" quotePrefix="0" xfId="0"/>
    <xf numFmtId="170" fontId="0" fillId="0" borderId="9" pivotButton="0" quotePrefix="0" xfId="0"/>
    <xf numFmtId="164" fontId="0" fillId="0" borderId="4" pivotButton="0" quotePrefix="0" xfId="0"/>
    <xf numFmtId="164" fontId="0" fillId="0" borderId="7" pivotButton="0" quotePrefix="0" xfId="0"/>
    <xf numFmtId="164" fontId="0" fillId="0" borderId="10" pivotButton="0" quotePrefix="0" xfId="0"/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wrapText="1"/>
    </xf>
    <xf numFmtId="0" fontId="5" fillId="7" borderId="0" pivotButton="0" quotePrefix="0" xfId="0"/>
    <xf numFmtId="0" fontId="5" fillId="7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9" fontId="3" fillId="4" borderId="0" applyAlignment="1" pivotButton="0" quotePrefix="0" xfId="0">
      <alignment horizontal="center"/>
    </xf>
    <xf numFmtId="0" fontId="2" fillId="0" borderId="0" pivotButton="0" quotePrefix="0" xfId="0"/>
    <xf numFmtId="0" fontId="2" fillId="12" borderId="0" pivotButton="0" quotePrefix="0" xfId="0"/>
    <xf numFmtId="1" fontId="2" fillId="12" borderId="0" pivotButton="0" quotePrefix="0" xfId="0"/>
    <xf numFmtId="2" fontId="0" fillId="5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13" borderId="0" applyAlignment="1" pivotButton="0" quotePrefix="0" xfId="0">
      <alignment wrapText="1"/>
    </xf>
    <xf numFmtId="0" fontId="0" fillId="13" borderId="0" applyAlignment="1" pivotButton="0" quotePrefix="0" xfId="0">
      <alignment wrapText="1"/>
    </xf>
    <xf numFmtId="0" fontId="0" fillId="14" borderId="0" pivotButton="0" quotePrefix="0" xfId="0"/>
    <xf numFmtId="0" fontId="4" fillId="14" borderId="0" pivotButton="0" quotePrefix="0" xfId="0"/>
    <xf numFmtId="0" fontId="4" fillId="14" borderId="0" applyAlignment="1" pivotButton="0" quotePrefix="0" xfId="0">
      <alignment horizontal="center"/>
    </xf>
    <xf numFmtId="0" fontId="4" fillId="14" borderId="0" applyAlignment="1" pivotButton="0" quotePrefix="0" xfId="0">
      <alignment horizontal="center" vertical="center"/>
    </xf>
    <xf numFmtId="0" fontId="0" fillId="15" borderId="0" pivotButton="0" quotePrefix="0" xfId="0"/>
    <xf numFmtId="0" fontId="3" fillId="15" borderId="0" pivotButton="0" quotePrefix="0" xfId="0"/>
    <xf numFmtId="0" fontId="3" fillId="15" borderId="0" applyAlignment="1" pivotButton="0" quotePrefix="0" xfId="0">
      <alignment wrapText="1"/>
    </xf>
    <xf numFmtId="0" fontId="3" fillId="15" borderId="0" applyAlignment="1" pivotButton="0" quotePrefix="0" xfId="0">
      <alignment horizontal="center" wrapText="1"/>
    </xf>
    <xf numFmtId="0" fontId="3" fillId="15" borderId="0" applyAlignment="1" pivotButton="0" quotePrefix="0" xfId="0">
      <alignment horizontal="center" vertical="center" wrapText="1"/>
    </xf>
    <xf numFmtId="0" fontId="0" fillId="16" borderId="0" pivotButton="0" quotePrefix="0" xfId="0"/>
    <xf numFmtId="0" fontId="2" fillId="16" borderId="0" pivotButton="0" quotePrefix="0" xfId="0"/>
    <xf numFmtId="0" fontId="2" fillId="16" borderId="0" applyAlignment="1" pivotButton="0" quotePrefix="0" xfId="0">
      <alignment horizontal="center"/>
    </xf>
    <xf numFmtId="0" fontId="0" fillId="17" borderId="0" pivotButton="0" quotePrefix="0" xfId="0"/>
    <xf numFmtId="0" fontId="0" fillId="18" borderId="0" pivotButton="0" quotePrefix="0" xfId="0"/>
    <xf numFmtId="0" fontId="2" fillId="18" borderId="0" applyAlignment="1" pivotButton="0" quotePrefix="0" xfId="0">
      <alignment horizontal="center"/>
    </xf>
    <xf numFmtId="0" fontId="0" fillId="19" borderId="0" pivotButton="0" quotePrefix="0" xfId="0"/>
    <xf numFmtId="0" fontId="0" fillId="19" borderId="0" applyAlignment="1" pivotButton="0" quotePrefix="0" xfId="0">
      <alignment wrapText="1"/>
    </xf>
    <xf numFmtId="164" fontId="0" fillId="0" borderId="0" pivotButton="0" quotePrefix="0" xfId="0"/>
    <xf numFmtId="164" fontId="0" fillId="17" borderId="0" pivotButton="0" quotePrefix="0" xfId="0"/>
    <xf numFmtId="164" fontId="0" fillId="18" borderId="0" pivotButton="0" quotePrefix="0" xfId="0"/>
    <xf numFmtId="165" fontId="0" fillId="0" borderId="0" pivotButton="0" quotePrefix="0" xfId="0"/>
    <xf numFmtId="165" fontId="0" fillId="18" borderId="0" pivotButton="0" quotePrefix="0" xfId="0"/>
    <xf numFmtId="3" fontId="0" fillId="18" borderId="0" pivotButton="0" quotePrefix="0" xfId="0"/>
    <xf numFmtId="4" fontId="0" fillId="19" borderId="0" applyAlignment="1" pivotButton="0" quotePrefix="0" xfId="0">
      <alignment wrapText="1"/>
    </xf>
    <xf numFmtId="0" fontId="5" fillId="19" borderId="0" applyAlignment="1" pivotButton="0" quotePrefix="0" xfId="0">
      <alignment wrapText="1"/>
    </xf>
    <xf numFmtId="4" fontId="5" fillId="19" borderId="0" applyAlignment="1" pivotButton="0" quotePrefix="0" xfId="0">
      <alignment wrapText="1"/>
    </xf>
    <xf numFmtId="0" fontId="0" fillId="18" borderId="0" applyAlignment="1" pivotButton="0" quotePrefix="0" xfId="0">
      <alignment wrapText="1"/>
    </xf>
    <xf numFmtId="4" fontId="0" fillId="18" borderId="0" applyAlignment="1" pivotButton="0" quotePrefix="0" xfId="0">
      <alignment wrapText="1"/>
    </xf>
    <xf numFmtId="0" fontId="2" fillId="18" borderId="0" applyAlignment="1" pivotButton="0" quotePrefix="0" xfId="0">
      <alignment wrapText="1"/>
    </xf>
    <xf numFmtId="4" fontId="2" fillId="18" borderId="0" applyAlignment="1" pivotButton="0" quotePrefix="0" xfId="0">
      <alignment wrapText="1"/>
    </xf>
    <xf numFmtId="165" fontId="2" fillId="18" borderId="0" applyAlignment="1" pivotButton="0" quotePrefix="0" xfId="0">
      <alignment wrapText="1"/>
    </xf>
    <xf numFmtId="3" fontId="0" fillId="6" borderId="0" applyAlignment="1" pivotButton="0" quotePrefix="0" xfId="0">
      <alignment wrapText="1"/>
    </xf>
    <xf numFmtId="0" fontId="3" fillId="15" borderId="0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applyAlignment="1" pivotButton="0" quotePrefix="0" xfId="0">
      <alignment wrapText="1"/>
    </xf>
    <xf numFmtId="164" fontId="0" fillId="11" borderId="0" pivotButton="0" quotePrefix="0" xfId="0"/>
    <xf numFmtId="164" fontId="0" fillId="6" borderId="0" pivotButton="0" quotePrefix="0" xfId="0"/>
    <xf numFmtId="165" fontId="0" fillId="6" borderId="0" pivotButton="0" quotePrefix="0" xfId="0"/>
    <xf numFmtId="3" fontId="0" fillId="6" borderId="0" pivotButton="0" quotePrefix="0" xfId="0"/>
    <xf numFmtId="4" fontId="0" fillId="7" borderId="0" applyAlignment="1" pivotButton="0" quotePrefix="0" xfId="0">
      <alignment wrapText="1"/>
    </xf>
    <xf numFmtId="4" fontId="5" fillId="7" borderId="0" applyAlignment="1" pivotButton="0" quotePrefix="0" xfId="0">
      <alignment wrapText="1"/>
    </xf>
    <xf numFmtId="0" fontId="2" fillId="6" borderId="0" applyAlignment="1" pivotButton="0" quotePrefix="0" xfId="0">
      <alignment wrapText="1"/>
    </xf>
    <xf numFmtId="4" fontId="2" fillId="6" borderId="0" applyAlignment="1" pivotButton="0" quotePrefix="0" xfId="0">
      <alignment wrapText="1"/>
    </xf>
    <xf numFmtId="165" fontId="2" fillId="6" borderId="0" applyAlignment="1" pivotButton="0" quotePrefix="0" xfId="0">
      <alignment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/>
    </xf>
    <xf numFmtId="0" fontId="3" fillId="20" borderId="0" pivotButton="0" quotePrefix="0" xfId="0"/>
    <xf numFmtId="0" fontId="3" fillId="20" borderId="0" applyAlignment="1" pivotButton="0" quotePrefix="0" xfId="0">
      <alignment wrapText="1"/>
    </xf>
    <xf numFmtId="0" fontId="3" fillId="20" borderId="0" applyAlignment="1" pivotButton="0" quotePrefix="0" xfId="0">
      <alignment horizontal="center" wrapText="1"/>
    </xf>
    <xf numFmtId="0" fontId="3" fillId="20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3" fillId="21" borderId="0" pivotButton="0" quotePrefix="0" xfId="0"/>
    <xf numFmtId="0" fontId="3" fillId="21" borderId="0" applyAlignment="1" pivotButton="0" quotePrefix="0" xfId="0">
      <alignment horizontal="left"/>
    </xf>
    <xf numFmtId="0" fontId="3" fillId="21" borderId="0" applyAlignment="1" pivotButton="0" quotePrefix="0" xfId="0">
      <alignment horizontal="left" vertical="center"/>
    </xf>
    <xf numFmtId="0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6" fillId="22" borderId="0" applyAlignment="1" pivotButton="0" quotePrefix="0" xfId="0">
      <alignment wrapText="1"/>
    </xf>
    <xf numFmtId="10" fontId="6" fillId="22" borderId="0" applyAlignment="1" pivotButton="0" quotePrefix="0" xfId="0">
      <alignment wrapText="1"/>
    </xf>
    <xf numFmtId="10" fontId="7" fillId="0" borderId="0" applyAlignment="1" pivotButton="0" quotePrefix="0" xfId="0">
      <alignment wrapText="1"/>
    </xf>
    <xf numFmtId="10" fontId="8" fillId="0" borderId="0" applyAlignment="1" pivotButton="0" quotePrefix="0" xfId="0">
      <alignment wrapText="1"/>
    </xf>
    <xf numFmtId="4" fontId="6" fillId="22" borderId="0" applyAlignment="1" pivotButton="0" quotePrefix="0" xfId="0">
      <alignment wrapText="1"/>
    </xf>
    <xf numFmtId="4" fontId="8" fillId="0" borderId="0" applyAlignment="1" pivotButton="0" quotePrefix="0" xfId="0">
      <alignment wrapText="1"/>
    </xf>
    <xf numFmtId="171" fontId="8" fillId="0" borderId="0" applyAlignment="1" pivotButton="0" quotePrefix="0" xfId="0">
      <alignment wrapText="1"/>
    </xf>
    <xf numFmtId="168" fontId="8" fillId="0" borderId="0" applyAlignment="1" pivotButton="0" quotePrefix="0" xfId="0">
      <alignment wrapText="1"/>
    </xf>
    <xf numFmtId="3" fontId="8" fillId="0" borderId="0" applyAlignment="1" pivotButton="0" quotePrefix="0" xfId="0">
      <alignment wrapText="1"/>
    </xf>
    <xf numFmtId="169" fontId="8" fillId="0" borderId="0" applyAlignment="1" pivotButton="0" quotePrefix="0" xfId="0">
      <alignment wrapText="1"/>
    </xf>
    <xf numFmtId="172" fontId="8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22" borderId="0" applyAlignment="1" pivotButton="0" quotePrefix="0" xfId="0">
      <alignment vertical="center" wrapText="1"/>
    </xf>
    <xf numFmtId="10" fontId="6" fillId="22" borderId="0" applyAlignment="1" pivotButton="0" quotePrefix="0" xfId="0">
      <alignment vertical="center" wrapText="1"/>
    </xf>
    <xf numFmtId="10" fontId="7" fillId="0" borderId="0" applyAlignment="1" pivotButton="0" quotePrefix="0" xfId="0">
      <alignment vertical="center" wrapText="1"/>
    </xf>
    <xf numFmtId="4" fontId="6" fillId="22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10" fontId="8" fillId="0" borderId="0" applyAlignment="1" pivotButton="0" quotePrefix="0" xfId="0">
      <alignment vertical="center" wrapText="1"/>
    </xf>
    <xf numFmtId="171" fontId="8" fillId="0" borderId="0" applyAlignment="1" pivotButton="0" quotePrefix="0" xfId="0">
      <alignment vertical="center" wrapText="1"/>
    </xf>
    <xf numFmtId="168" fontId="8" fillId="0" borderId="0" applyAlignment="1" pivotButton="0" quotePrefix="0" xfId="0">
      <alignment vertical="center" wrapText="1"/>
    </xf>
    <xf numFmtId="3" fontId="8" fillId="0" borderId="0" applyAlignment="1" pivotButton="0" quotePrefix="0" xfId="0">
      <alignment vertical="center" wrapText="1"/>
    </xf>
    <xf numFmtId="169" fontId="8" fillId="0" borderId="0" applyAlignment="1" pivotButton="0" quotePrefix="0" xfId="0">
      <alignment vertical="center" wrapText="1"/>
    </xf>
    <xf numFmtId="168" fontId="0" fillId="0" borderId="0" applyAlignment="1" pivotButton="0" quotePrefix="0" xfId="0">
      <alignment wrapText="1"/>
    </xf>
    <xf numFmtId="169" fontId="0" fillId="0" borderId="0" applyAlignment="1" pivotButton="0" quotePrefix="0" xfId="0">
      <alignment wrapText="1"/>
    </xf>
    <xf numFmtId="10" fontId="0" fillId="0" borderId="0" applyAlignment="1" pivotButton="0" quotePrefix="0" xfId="0">
      <alignment wrapText="1"/>
    </xf>
    <xf numFmtId="0" fontId="1" fillId="23" borderId="0" applyAlignment="1" pivotButton="0" quotePrefix="0" xfId="0">
      <alignment horizontal="center" vertical="center"/>
    </xf>
    <xf numFmtId="0" fontId="10" fillId="23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center" vertical="center" wrapText="1"/>
    </xf>
    <xf numFmtId="0" fontId="0" fillId="24" borderId="0" applyAlignment="1" pivotButton="0" quotePrefix="0" xfId="0">
      <alignment vertical="center"/>
    </xf>
    <xf numFmtId="0" fontId="3" fillId="24" borderId="0" applyAlignment="1" pivotButton="0" quotePrefix="0" xfId="0">
      <alignment vertical="center"/>
    </xf>
    <xf numFmtId="0" fontId="3" fillId="24" borderId="0" applyAlignment="1" pivotButton="0" quotePrefix="0" xfId="0">
      <alignment horizontal="center" vertical="center"/>
    </xf>
    <xf numFmtId="0" fontId="0" fillId="25" borderId="0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0" fillId="26" borderId="0" applyAlignment="1" pivotButton="0" quotePrefix="0" xfId="0">
      <alignment vertical="center" wrapText="1"/>
    </xf>
    <xf numFmtId="0" fontId="8" fillId="26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26" borderId="0" applyAlignment="1" pivotButton="0" quotePrefix="0" xfId="0">
      <alignment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 wrapText="1"/>
    </xf>
    <xf numFmtId="168" fontId="8" fillId="26" borderId="0" applyAlignment="1" pivotButton="0" quotePrefix="0" xfId="0">
      <alignment vertical="center" wrapText="1"/>
    </xf>
    <xf numFmtId="3" fontId="8" fillId="26" borderId="0" applyAlignment="1" pivotButton="0" quotePrefix="0" xfId="0">
      <alignment vertical="center" wrapText="1"/>
    </xf>
    <xf numFmtId="169" fontId="8" fillId="26" borderId="0" applyAlignment="1" pivotButton="0" quotePrefix="0" xfId="0">
      <alignment vertical="center" wrapText="1"/>
    </xf>
    <xf numFmtId="10" fontId="8" fillId="26" borderId="0" applyAlignment="1" pivotButton="0" quotePrefix="0" xfId="0">
      <alignment vertical="center" wrapText="1"/>
    </xf>
    <xf numFmtId="0" fontId="8" fillId="26" borderId="0" applyAlignment="1" pivotButton="0" quotePrefix="0" xfId="0">
      <alignment vertical="center"/>
    </xf>
    <xf numFmtId="0" fontId="12" fillId="26" borderId="0" applyAlignment="1" pivotButton="0" quotePrefix="0" xfId="0">
      <alignment horizontal="left" vertical="center"/>
    </xf>
    <xf numFmtId="0" fontId="12" fillId="26" borderId="0" applyAlignment="1" pivotButton="0" quotePrefix="0" xfId="0">
      <alignment horizontal="center" vertical="center" wrapText="1"/>
    </xf>
    <xf numFmtId="3" fontId="8" fillId="25" borderId="0" applyAlignment="1" pivotButton="0" quotePrefix="0" xfId="0">
      <alignment vertical="center" wrapText="1"/>
    </xf>
    <xf numFmtId="3" fontId="6" fillId="25" borderId="0" applyAlignment="1" pivotButton="0" quotePrefix="0" xfId="0">
      <alignment vertical="center" wrapText="1"/>
    </xf>
    <xf numFmtId="0" fontId="3" fillId="21" borderId="0" applyAlignment="1" pivotButton="0" quotePrefix="0" xfId="0">
      <alignment horizontal="left" vertical="center" wrapText="1"/>
    </xf>
    <xf numFmtId="0" fontId="10" fillId="23" borderId="11" applyAlignment="1" pivotButton="0" quotePrefix="0" xfId="0">
      <alignment horizontal="center" vertical="center"/>
    </xf>
    <xf numFmtId="0" fontId="10" fillId="23" borderId="12" applyAlignment="1" pivotButton="0" quotePrefix="0" xfId="0">
      <alignment horizontal="center" vertical="center"/>
    </xf>
    <xf numFmtId="0" fontId="10" fillId="23" borderId="13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3" fillId="24" borderId="14" applyAlignment="1" pivotButton="0" quotePrefix="0" xfId="0">
      <alignment horizontal="center" vertical="center" wrapText="1"/>
    </xf>
    <xf numFmtId="0" fontId="3" fillId="24" borderId="15" applyAlignment="1" pivotButton="0" quotePrefix="0" xfId="0">
      <alignment horizontal="center" vertical="center" wrapText="1"/>
    </xf>
    <xf numFmtId="0" fontId="3" fillId="24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vertical="center" wrapText="1"/>
    </xf>
    <xf numFmtId="0" fontId="11" fillId="25" borderId="15" applyAlignment="1" pivotButton="0" quotePrefix="0" xfId="0">
      <alignment vertical="center" wrapText="1"/>
    </xf>
    <xf numFmtId="0" fontId="6" fillId="22" borderId="15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8" fillId="26" borderId="15" applyAlignment="1" pivotButton="0" quotePrefix="0" xfId="0">
      <alignment vertical="center" wrapText="1"/>
    </xf>
    <xf numFmtId="10" fontId="6" fillId="22" borderId="15" applyAlignment="1" pivotButton="0" quotePrefix="0" xfId="0">
      <alignment vertical="center" wrapText="1"/>
    </xf>
    <xf numFmtId="10" fontId="7" fillId="0" borderId="15" applyAlignment="1" pivotButton="0" quotePrefix="0" xfId="0">
      <alignment vertical="center" wrapText="1"/>
    </xf>
    <xf numFmtId="4" fontId="6" fillId="22" borderId="15" applyAlignment="1" pivotButton="0" quotePrefix="0" xfId="0">
      <alignment vertical="center" wrapText="1"/>
    </xf>
    <xf numFmtId="4" fontId="8" fillId="0" borderId="15" applyAlignment="1" pivotButton="0" quotePrefix="0" xfId="0">
      <alignment vertical="center" wrapText="1"/>
    </xf>
    <xf numFmtId="10" fontId="8" fillId="0" borderId="15" applyAlignment="1" pivotButton="0" quotePrefix="0" xfId="0">
      <alignment vertical="center" wrapText="1"/>
    </xf>
    <xf numFmtId="171" fontId="8" fillId="0" borderId="15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3" fillId="24" borderId="14" applyAlignment="1" pivotButton="0" quotePrefix="0" xfId="0">
      <alignment horizontal="center" vertical="center"/>
    </xf>
    <xf numFmtId="0" fontId="3" fillId="24" borderId="15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8" fillId="26" borderId="15" applyAlignment="1" pivotButton="0" quotePrefix="0" xfId="0">
      <alignment vertical="center"/>
    </xf>
    <xf numFmtId="0" fontId="3" fillId="21" borderId="14" applyAlignment="1" pivotButton="0" quotePrefix="0" xfId="0">
      <alignment horizontal="left" vertical="center"/>
    </xf>
    <xf numFmtId="0" fontId="3" fillId="21" borderId="15" applyAlignment="1" pivotButton="0" quotePrefix="0" xfId="0">
      <alignment horizontal="left" vertical="center"/>
    </xf>
    <xf numFmtId="0" fontId="12" fillId="26" borderId="15" applyAlignment="1" pivotButton="0" quotePrefix="0" xfId="0">
      <alignment horizontal="left" vertical="center"/>
    </xf>
    <xf numFmtId="0" fontId="3" fillId="21" borderId="16" applyAlignment="1" pivotButton="0" quotePrefix="0" xfId="0">
      <alignment horizontal="left" vertical="center" wrapText="1"/>
    </xf>
    <xf numFmtId="0" fontId="3" fillId="20" borderId="14" applyAlignment="1" pivotButton="0" quotePrefix="0" xfId="0">
      <alignment horizontal="center" vertical="center" wrapText="1"/>
    </xf>
    <xf numFmtId="0" fontId="3" fillId="20" borderId="15" applyAlignment="1" pivotButton="0" quotePrefix="0" xfId="0">
      <alignment horizontal="center" vertical="center" wrapText="1"/>
    </xf>
    <xf numFmtId="0" fontId="12" fillId="26" borderId="15" applyAlignment="1" pivotButton="0" quotePrefix="0" xfId="0">
      <alignment horizontal="center" vertical="center" wrapText="1"/>
    </xf>
    <xf numFmtId="0" fontId="3" fillId="20" borderId="16" applyAlignment="1" pivotButton="0" quotePrefix="0" xfId="0">
      <alignment horizontal="center" vertical="center" wrapText="1"/>
    </xf>
    <xf numFmtId="168" fontId="8" fillId="26" borderId="15" applyAlignment="1" pivotButton="0" quotePrefix="0" xfId="0">
      <alignment vertical="center" wrapText="1"/>
    </xf>
    <xf numFmtId="3" fontId="6" fillId="25" borderId="15" applyAlignment="1" pivotButton="0" quotePrefix="0" xfId="0">
      <alignment vertical="center" wrapText="1"/>
    </xf>
    <xf numFmtId="169" fontId="8" fillId="26" borderId="15" applyAlignment="1" pivotButton="0" quotePrefix="0" xfId="0">
      <alignment vertical="center" wrapText="1"/>
    </xf>
    <xf numFmtId="10" fontId="8" fillId="26" borderId="15" applyAlignment="1" pivotButton="0" quotePrefix="0" xfId="0">
      <alignment vertical="center" wrapText="1"/>
    </xf>
    <xf numFmtId="0" fontId="2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8" fillId="26" borderId="18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  <xf numFmtId="173" fontId="8" fillId="26" borderId="15" applyAlignment="1" pivotButton="0" quotePrefix="0" xfId="0">
      <alignment vertical="center" wrapText="1"/>
    </xf>
    <xf numFmtId="173" fontId="12" fillId="26" borderId="15" applyAlignment="1" pivotButton="0" quotePrefix="0" xfId="0">
      <alignment horizontal="left" vertical="center"/>
    </xf>
    <xf numFmtId="173" fontId="8" fillId="26" borderId="15" applyAlignment="1" pivotButton="0" quotePrefix="0" xfId="0">
      <alignment vertical="center"/>
    </xf>
    <xf numFmtId="173" fontId="12" fillId="26" borderId="15" applyAlignment="1" pivotButton="0" quotePrefix="0" xfId="0">
      <alignment horizontal="center" vertical="center" wrapText="1"/>
    </xf>
    <xf numFmtId="174" fontId="8" fillId="26" borderId="15" applyAlignment="1" pivotButton="0" quotePrefix="0" xfId="0">
      <alignment vertical="center" wrapText="1"/>
    </xf>
    <xf numFmtId="169" fontId="8" fillId="26" borderId="15" applyAlignment="1" pivotButton="0" quotePrefix="0" xfId="0">
      <alignment vertical="center"/>
    </xf>
    <xf numFmtId="169" fontId="12" fillId="26" borderId="15" applyAlignment="1" pivotButton="0" quotePrefix="0" xfId="0">
      <alignment horizontal="left" vertical="center"/>
    </xf>
    <xf numFmtId="174" fontId="8" fillId="26" borderId="18" applyAlignment="1" pivotButton="0" quotePrefix="0" xfId="0">
      <alignment vertical="center" wrapText="1"/>
    </xf>
    <xf numFmtId="0" fontId="0" fillId="24" borderId="0" pivotButton="0" quotePrefix="0" xfId="0"/>
    <xf numFmtId="0" fontId="3" fillId="24" borderId="0" pivotButton="0" quotePrefix="0" xfId="0"/>
    <xf numFmtId="0" fontId="3" fillId="24" borderId="0" applyAlignment="1" pivotButton="0" quotePrefix="0" xfId="0">
      <alignment horizontal="center"/>
    </xf>
    <xf numFmtId="0" fontId="3" fillId="24" borderId="11" applyAlignment="1" pivotButton="0" quotePrefix="0" xfId="0">
      <alignment horizontal="center"/>
    </xf>
    <xf numFmtId="0" fontId="3" fillId="24" borderId="12" applyAlignment="1" pivotButton="0" quotePrefix="0" xfId="0">
      <alignment horizontal="center"/>
    </xf>
    <xf numFmtId="0" fontId="3" fillId="24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73" fontId="0" fillId="0" borderId="15" pivotButton="0" quotePrefix="0" xfId="0"/>
    <xf numFmtId="173" fontId="0" fillId="0" borderId="18" pivotButton="0" quotePrefix="0" xfId="0"/>
    <xf numFmtId="169" fontId="0" fillId="0" borderId="15" pivotButton="0" quotePrefix="0" xfId="0"/>
    <xf numFmtId="169" fontId="0" fillId="0" borderId="18" pivotButton="0" quotePrefix="0" xfId="0"/>
    <xf numFmtId="0" fontId="3" fillId="24" borderId="12" applyAlignment="1" pivotButton="0" quotePrefix="0" xfId="0">
      <alignment horizontal="center" wrapText="1"/>
    </xf>
    <xf numFmtId="0" fontId="3" fillId="24" borderId="13" applyAlignment="1" pivotButton="0" quotePrefix="0" xfId="0">
      <alignment horizontal="center" wrapText="1"/>
    </xf>
    <xf numFmtId="0" fontId="0" fillId="27" borderId="0" pivotButton="0" quotePrefix="0" xfId="0"/>
    <xf numFmtId="0" fontId="3" fillId="27" borderId="0" pivotButton="0" quotePrefix="0" xfId="0"/>
    <xf numFmtId="0" fontId="3" fillId="27" borderId="0" applyAlignment="1" pivotButton="0" quotePrefix="0" xfId="0">
      <alignment horizontal="center"/>
    </xf>
    <xf numFmtId="4" fontId="0" fillId="26" borderId="0" applyAlignment="1" pivotButton="0" quotePrefix="0" xfId="0">
      <alignment wrapText="1"/>
    </xf>
    <xf numFmtId="4" fontId="8" fillId="26" borderId="0" applyAlignment="1" pivotButton="0" quotePrefix="0" xfId="0">
      <alignment wrapText="1"/>
    </xf>
    <xf numFmtId="164" fontId="0" fillId="26" borderId="0" applyAlignment="1" pivotButton="0" quotePrefix="0" xfId="0">
      <alignment wrapText="1"/>
    </xf>
    <xf numFmtId="164" fontId="8" fillId="26" borderId="0" applyAlignment="1" pivotButton="0" quotePrefix="0" xfId="0">
      <alignment wrapText="1"/>
    </xf>
    <xf numFmtId="0" fontId="0" fillId="0" borderId="11" pivotButton="0" quotePrefix="0" xfId="0"/>
    <xf numFmtId="0" fontId="0" fillId="0" borderId="13" pivotButton="0" quotePrefix="0" xfId="0"/>
    <xf numFmtId="0" fontId="0" fillId="24" borderId="11" pivotButton="0" quotePrefix="0" xfId="0"/>
    <xf numFmtId="0" fontId="0" fillId="24" borderId="14" pivotButton="0" quotePrefix="0" xfId="0"/>
    <xf numFmtId="0" fontId="0" fillId="24" borderId="17" pivotButton="0" quotePrefix="0" xfId="0"/>
    <xf numFmtId="0" fontId="3" fillId="24" borderId="11" pivotButton="0" quotePrefix="0" xfId="0"/>
    <xf numFmtId="0" fontId="3" fillId="24" borderId="14" pivotButton="0" quotePrefix="0" xfId="0"/>
    <xf numFmtId="0" fontId="3" fillId="24" borderId="17" pivotButton="0" quotePrefix="0" xfId="0"/>
    <xf numFmtId="0" fontId="0" fillId="0" borderId="13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2" fontId="0" fillId="5" borderId="0" applyAlignment="1" pivotButton="0" quotePrefix="0" xfId="0">
      <alignment wrapText="1"/>
    </xf>
    <xf numFmtId="4" fontId="0" fillId="5" borderId="0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4" fontId="8" fillId="26" borderId="0" applyAlignment="1" pivotButton="0" quotePrefix="0" xfId="0">
      <alignment wrapText="1"/>
    </xf>
    <xf numFmtId="164" fontId="8" fillId="26" borderId="0" applyAlignment="1" pivotButton="0" quotePrefix="0" xfId="0">
      <alignment wrapText="1"/>
    </xf>
    <xf numFmtId="4" fontId="5" fillId="19" borderId="0" applyAlignment="1" pivotButton="0" quotePrefix="0" xfId="0">
      <alignment wrapText="1"/>
    </xf>
    <xf numFmtId="1" fontId="2" fillId="12" borderId="0" pivotButton="0" quotePrefix="0" xfId="0"/>
    <xf numFmtId="4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2" fillId="18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4" fontId="0" fillId="6" borderId="0" applyAlignment="1" pivotButton="0" quotePrefix="0" xfId="0">
      <alignment wrapText="1"/>
    </xf>
    <xf numFmtId="165" fontId="0" fillId="6" borderId="0" applyAlignment="1" pivotButton="0" quotePrefix="0" xfId="0">
      <alignment wrapText="1"/>
    </xf>
    <xf numFmtId="3" fontId="0" fillId="6" borderId="0" applyAlignment="1" pivotButton="0" quotePrefix="0" xfId="0">
      <alignment wrapText="1"/>
    </xf>
    <xf numFmtId="164" fontId="0" fillId="6" borderId="0" applyAlignment="1" pivotButton="0" quotePrefix="0" xfId="0">
      <alignment wrapText="1"/>
    </xf>
    <xf numFmtId="2" fontId="3" fillId="4" borderId="0" applyAlignment="1" pivotButton="0" quotePrefix="0" xfId="0">
      <alignment horizontal="center"/>
    </xf>
    <xf numFmtId="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wrapText="1"/>
    </xf>
    <xf numFmtId="166" fontId="0" fillId="0" borderId="3" applyAlignment="1" pivotButton="0" quotePrefix="0" xfId="0">
      <alignment vertical="top" wrapText="1"/>
    </xf>
    <xf numFmtId="167" fontId="0" fillId="0" borderId="3" applyAlignment="1" pivotButton="0" quotePrefix="0" xfId="0">
      <alignment vertical="top" wrapText="1"/>
    </xf>
    <xf numFmtId="169" fontId="0" fillId="0" borderId="3" applyAlignment="1" pivotButton="0" quotePrefix="0" xfId="0">
      <alignment vertical="top" wrapText="1"/>
    </xf>
    <xf numFmtId="168" fontId="0" fillId="0" borderId="3" applyAlignment="1" pivotButton="0" quotePrefix="0" xfId="0">
      <alignment vertical="top" wrapText="1"/>
    </xf>
    <xf numFmtId="170" fontId="0" fillId="0" borderId="3" applyAlignment="1" pivotButton="0" quotePrefix="0" xfId="0">
      <alignment vertical="top" wrapText="1"/>
    </xf>
    <xf numFmtId="166" fontId="0" fillId="0" borderId="6" applyAlignment="1" pivotButton="0" quotePrefix="0" xfId="0">
      <alignment vertical="top" wrapText="1"/>
    </xf>
    <xf numFmtId="167" fontId="0" fillId="0" borderId="6" applyAlignment="1" pivotButton="0" quotePrefix="0" xfId="0">
      <alignment vertical="top" wrapText="1"/>
    </xf>
    <xf numFmtId="169" fontId="0" fillId="0" borderId="6" applyAlignment="1" pivotButton="0" quotePrefix="0" xfId="0">
      <alignment vertical="top" wrapText="1"/>
    </xf>
    <xf numFmtId="168" fontId="0" fillId="0" borderId="6" applyAlignment="1" pivotButton="0" quotePrefix="0" xfId="0">
      <alignment vertical="top" wrapText="1"/>
    </xf>
    <xf numFmtId="170" fontId="0" fillId="0" borderId="6" applyAlignment="1" pivotButton="0" quotePrefix="0" xfId="0">
      <alignment vertical="top" wrapText="1"/>
    </xf>
    <xf numFmtId="166" fontId="0" fillId="0" borderId="9" applyAlignment="1" pivotButton="0" quotePrefix="0" xfId="0">
      <alignment vertical="top" wrapText="1"/>
    </xf>
    <xf numFmtId="167" fontId="0" fillId="0" borderId="9" applyAlignment="1" pivotButton="0" quotePrefix="0" xfId="0">
      <alignment vertical="top" wrapText="1"/>
    </xf>
    <xf numFmtId="169" fontId="0" fillId="0" borderId="9" applyAlignment="1" pivotButton="0" quotePrefix="0" xfId="0">
      <alignment vertical="top" wrapText="1"/>
    </xf>
    <xf numFmtId="168" fontId="0" fillId="0" borderId="9" applyAlignment="1" pivotButton="0" quotePrefix="0" xfId="0">
      <alignment vertical="top" wrapText="1"/>
    </xf>
    <xf numFmtId="170" fontId="0" fillId="0" borderId="9" applyAlignment="1" pivotButton="0" quotePrefix="0" xfId="0">
      <alignment vertical="top" wrapText="1"/>
    </xf>
    <xf numFmtId="9" fontId="3" fillId="10" borderId="0" applyAlignment="1" pivotButton="0" quotePrefix="0" xfId="0">
      <alignment horizontal="center"/>
    </xf>
    <xf numFmtId="170" fontId="0" fillId="0" borderId="3" pivotButton="0" quotePrefix="0" xfId="0"/>
    <xf numFmtId="164" fontId="0" fillId="0" borderId="4" pivotButton="0" quotePrefix="0" xfId="0"/>
    <xf numFmtId="170" fontId="0" fillId="0" borderId="6" pivotButton="0" quotePrefix="0" xfId="0"/>
    <xf numFmtId="164" fontId="0" fillId="0" borderId="7" pivotButton="0" quotePrefix="0" xfId="0"/>
    <xf numFmtId="170" fontId="0" fillId="0" borderId="9" pivotButton="0" quotePrefix="0" xfId="0"/>
    <xf numFmtId="164" fontId="0" fillId="0" borderId="10" pivotButton="0" quotePrefix="0" xfId="0"/>
    <xf numFmtId="166" fontId="6" fillId="0" borderId="3" applyAlignment="1" pivotButton="0" quotePrefix="0" xfId="0">
      <alignment vertical="top" wrapText="1"/>
    </xf>
    <xf numFmtId="164" fontId="6" fillId="0" borderId="3" applyAlignment="1" pivotButton="0" quotePrefix="0" xfId="0">
      <alignment vertical="top" wrapText="1"/>
    </xf>
    <xf numFmtId="166" fontId="7" fillId="0" borderId="3" applyAlignment="1" pivotButton="0" quotePrefix="0" xfId="0">
      <alignment vertical="top" wrapText="1"/>
    </xf>
    <xf numFmtId="167" fontId="6" fillId="0" borderId="3" applyAlignment="1" pivotButton="0" quotePrefix="0" xfId="0">
      <alignment vertical="top" wrapText="1"/>
    </xf>
    <xf numFmtId="167" fontId="7" fillId="0" borderId="3" applyAlignment="1" pivotButton="0" quotePrefix="0" xfId="0">
      <alignment vertical="top" wrapText="1"/>
    </xf>
    <xf numFmtId="168" fontId="8" fillId="0" borderId="3" applyAlignment="1" pivotButton="0" quotePrefix="0" xfId="0">
      <alignment vertical="top" wrapText="1"/>
    </xf>
    <xf numFmtId="168" fontId="7" fillId="0" borderId="3" applyAlignment="1" pivotButton="0" quotePrefix="0" xfId="0">
      <alignment vertical="top" wrapText="1"/>
    </xf>
    <xf numFmtId="168" fontId="6" fillId="0" borderId="3" applyAlignment="1" pivotButton="0" quotePrefix="0" xfId="0">
      <alignment vertical="top" wrapText="1"/>
    </xf>
    <xf numFmtId="169" fontId="7" fillId="0" borderId="3" applyAlignment="1" pivotButton="0" quotePrefix="0" xfId="0">
      <alignment vertical="top" wrapText="1"/>
    </xf>
    <xf numFmtId="169" fontId="6" fillId="0" borderId="3" applyAlignment="1" pivotButton="0" quotePrefix="0" xfId="0">
      <alignment vertical="top" wrapText="1"/>
    </xf>
    <xf numFmtId="170" fontId="7" fillId="0" borderId="3" applyAlignment="1" pivotButton="0" quotePrefix="0" xfId="0">
      <alignment vertical="top" wrapText="1"/>
    </xf>
    <xf numFmtId="166" fontId="6" fillId="0" borderId="6" applyAlignment="1" pivotButton="0" quotePrefix="0" xfId="0">
      <alignment vertical="top" wrapText="1"/>
    </xf>
    <xf numFmtId="164" fontId="6" fillId="0" borderId="6" applyAlignment="1" pivotButton="0" quotePrefix="0" xfId="0">
      <alignment vertical="top" wrapText="1"/>
    </xf>
    <xf numFmtId="166" fontId="7" fillId="0" borderId="6" applyAlignment="1" pivotButton="0" quotePrefix="0" xfId="0">
      <alignment vertical="top" wrapText="1"/>
    </xf>
    <xf numFmtId="167" fontId="6" fillId="0" borderId="6" applyAlignment="1" pivotButton="0" quotePrefix="0" xfId="0">
      <alignment vertical="top" wrapText="1"/>
    </xf>
    <xf numFmtId="167" fontId="7" fillId="0" borderId="6" applyAlignment="1" pivotButton="0" quotePrefix="0" xfId="0">
      <alignment vertical="top" wrapText="1"/>
    </xf>
    <xf numFmtId="168" fontId="8" fillId="0" borderId="6" applyAlignment="1" pivotButton="0" quotePrefix="0" xfId="0">
      <alignment vertical="top" wrapText="1"/>
    </xf>
    <xf numFmtId="168" fontId="7" fillId="0" borderId="6" applyAlignment="1" pivotButton="0" quotePrefix="0" xfId="0">
      <alignment vertical="top" wrapText="1"/>
    </xf>
    <xf numFmtId="168" fontId="6" fillId="0" borderId="6" applyAlignment="1" pivotButton="0" quotePrefix="0" xfId="0">
      <alignment vertical="top" wrapText="1"/>
    </xf>
    <xf numFmtId="169" fontId="7" fillId="0" borderId="6" applyAlignment="1" pivotButton="0" quotePrefix="0" xfId="0">
      <alignment vertical="top" wrapText="1"/>
    </xf>
    <xf numFmtId="169" fontId="6" fillId="0" borderId="6" applyAlignment="1" pivotButton="0" quotePrefix="0" xfId="0">
      <alignment vertical="top" wrapText="1"/>
    </xf>
    <xf numFmtId="170" fontId="7" fillId="0" borderId="6" applyAlignment="1" pivotButton="0" quotePrefix="0" xfId="0">
      <alignment vertical="top" wrapText="1"/>
    </xf>
    <xf numFmtId="166" fontId="6" fillId="0" borderId="9" applyAlignment="1" pivotButton="0" quotePrefix="0" xfId="0">
      <alignment vertical="top" wrapText="1"/>
    </xf>
    <xf numFmtId="164" fontId="6" fillId="0" borderId="9" applyAlignment="1" pivotButton="0" quotePrefix="0" xfId="0">
      <alignment vertical="top" wrapText="1"/>
    </xf>
    <xf numFmtId="166" fontId="7" fillId="0" borderId="9" applyAlignment="1" pivotButton="0" quotePrefix="0" xfId="0">
      <alignment vertical="top" wrapText="1"/>
    </xf>
    <xf numFmtId="167" fontId="6" fillId="0" borderId="9" applyAlignment="1" pivotButton="0" quotePrefix="0" xfId="0">
      <alignment vertical="top" wrapText="1"/>
    </xf>
    <xf numFmtId="167" fontId="7" fillId="0" borderId="9" applyAlignment="1" pivotButton="0" quotePrefix="0" xfId="0">
      <alignment vertical="top" wrapText="1"/>
    </xf>
    <xf numFmtId="168" fontId="8" fillId="0" borderId="9" applyAlignment="1" pivotButton="0" quotePrefix="0" xfId="0">
      <alignment vertical="top" wrapText="1"/>
    </xf>
    <xf numFmtId="168" fontId="7" fillId="0" borderId="9" applyAlignment="1" pivotButton="0" quotePrefix="0" xfId="0">
      <alignment vertical="top" wrapText="1"/>
    </xf>
    <xf numFmtId="168" fontId="6" fillId="0" borderId="9" applyAlignment="1" pivotButton="0" quotePrefix="0" xfId="0">
      <alignment vertical="top" wrapText="1"/>
    </xf>
    <xf numFmtId="169" fontId="7" fillId="0" borderId="9" applyAlignment="1" pivotButton="0" quotePrefix="0" xfId="0">
      <alignment vertical="top" wrapText="1"/>
    </xf>
    <xf numFmtId="169" fontId="6" fillId="0" borderId="9" applyAlignment="1" pivotButton="0" quotePrefix="0" xfId="0">
      <alignment vertical="top" wrapText="1"/>
    </xf>
    <xf numFmtId="170" fontId="7" fillId="0" borderId="9" applyAlignment="1" pivotButton="0" quotePrefix="0" xfId="0">
      <alignment vertical="top" wrapText="1"/>
    </xf>
    <xf numFmtId="0" fontId="9" fillId="11" borderId="1" applyAlignment="1" pivotButton="0" quotePrefix="0" xfId="0">
      <alignment wrapText="1"/>
    </xf>
    <xf numFmtId="0" fontId="4" fillId="14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0" fillId="17" borderId="0" pivotButton="0" quotePrefix="0" xfId="0"/>
    <xf numFmtId="165" fontId="0" fillId="18" borderId="0" pivotButton="0" quotePrefix="0" xfId="0"/>
    <xf numFmtId="3" fontId="0" fillId="18" borderId="0" pivotButton="0" quotePrefix="0" xfId="0"/>
    <xf numFmtId="164" fontId="0" fillId="18" borderId="0" pivotButton="0" quotePrefix="0" xfId="0"/>
    <xf numFmtId="0" fontId="2" fillId="16" borderId="1" pivotButton="0" quotePrefix="0" xfId="0"/>
    <xf numFmtId="0" fontId="0" fillId="19" borderId="1" applyAlignment="1" pivotButton="0" quotePrefix="0" xfId="0">
      <alignment wrapText="1"/>
    </xf>
    <xf numFmtId="0" fontId="3" fillId="21" borderId="1" applyAlignment="1" pivotButton="0" quotePrefix="0" xfId="0">
      <alignment horizontal="left" vertical="center"/>
    </xf>
    <xf numFmtId="168" fontId="8" fillId="0" borderId="0" applyAlignment="1" pivotButton="0" quotePrefix="0" xfId="0">
      <alignment wrapText="1"/>
    </xf>
    <xf numFmtId="169" fontId="8" fillId="0" borderId="0" applyAlignment="1" pivotButton="0" quotePrefix="0" xfId="0">
      <alignment wrapText="1"/>
    </xf>
    <xf numFmtId="10" fontId="8" fillId="0" borderId="0" applyAlignment="1" pivotButton="0" quotePrefix="0" xfId="0">
      <alignment wrapText="1"/>
    </xf>
    <xf numFmtId="10" fontId="6" fillId="22" borderId="15" applyAlignment="1" pivotButton="0" quotePrefix="0" xfId="0">
      <alignment vertical="center" wrapText="1"/>
    </xf>
    <xf numFmtId="173" fontId="8" fillId="26" borderId="15" applyAlignment="1" pivotButton="0" quotePrefix="0" xfId="0">
      <alignment vertical="center" wrapText="1"/>
    </xf>
    <xf numFmtId="10" fontId="7" fillId="0" borderId="15" applyAlignment="1" pivotButton="0" quotePrefix="0" xfId="0">
      <alignment vertical="center" wrapText="1"/>
    </xf>
    <xf numFmtId="4" fontId="6" fillId="22" borderId="15" applyAlignment="1" pivotButton="0" quotePrefix="0" xfId="0">
      <alignment vertical="center" wrapText="1"/>
    </xf>
    <xf numFmtId="4" fontId="8" fillId="0" borderId="15" applyAlignment="1" pivotButton="0" quotePrefix="0" xfId="0">
      <alignment vertical="center" wrapText="1"/>
    </xf>
    <xf numFmtId="169" fontId="8" fillId="26" borderId="15" applyAlignment="1" pivotButton="0" quotePrefix="0" xfId="0">
      <alignment vertical="center" wrapText="1"/>
    </xf>
    <xf numFmtId="10" fontId="8" fillId="0" borderId="15" applyAlignment="1" pivotButton="0" quotePrefix="0" xfId="0">
      <alignment vertical="center" wrapText="1"/>
    </xf>
    <xf numFmtId="171" fontId="8" fillId="0" borderId="15" applyAlignment="1" pivotButton="0" quotePrefix="0" xfId="0">
      <alignment vertical="center" wrapText="1"/>
    </xf>
    <xf numFmtId="173" fontId="8" fillId="26" borderId="15" applyAlignment="1" pivotButton="0" quotePrefix="0" xfId="0">
      <alignment vertical="center"/>
    </xf>
    <xf numFmtId="173" fontId="12" fillId="26" borderId="15" applyAlignment="1" pivotButton="0" quotePrefix="0" xfId="0">
      <alignment horizontal="center" vertical="center" wrapText="1"/>
    </xf>
    <xf numFmtId="3" fontId="6" fillId="25" borderId="15" applyAlignment="1" pivotButton="0" quotePrefix="0" xfId="0">
      <alignment vertical="center" wrapText="1"/>
    </xf>
    <xf numFmtId="174" fontId="8" fillId="26" borderId="15" applyAlignment="1" pivotButton="0" quotePrefix="0" xfId="0">
      <alignment vertical="center" wrapText="1"/>
    </xf>
    <xf numFmtId="169" fontId="8" fillId="26" borderId="15" applyAlignment="1" pivotButton="0" quotePrefix="0" xfId="0">
      <alignment vertical="center"/>
    </xf>
    <xf numFmtId="174" fontId="8" fillId="26" borderId="18" applyAlignment="1" pivotButton="0" quotePrefix="0" xfId="0">
      <alignment vertical="center" wrapText="1"/>
    </xf>
    <xf numFmtId="173" fontId="0" fillId="0" borderId="15" pivotButton="0" quotePrefix="0" xfId="0"/>
    <xf numFmtId="169" fontId="0" fillId="0" borderId="15" pivotButton="0" quotePrefix="0" xfId="0"/>
    <xf numFmtId="173" fontId="0" fillId="0" borderId="18" pivotButton="0" quotePrefix="0" xfId="0"/>
    <xf numFmtId="169" fontId="0" fillId="0" borderId="18" pivotButton="0" quotePrefix="0" xfId="0"/>
    <xf numFmtId="0" fontId="16" fillId="24" borderId="14" applyAlignment="1" pivotButton="0" quotePrefix="0" xfId="0">
      <alignment horizontal="center" vertical="center" wrapText="1"/>
    </xf>
    <xf numFmtId="0" fontId="16" fillId="24" borderId="15" applyAlignment="1" pivotButton="0" quotePrefix="0" xfId="0">
      <alignment horizontal="center" vertical="center" wrapText="1"/>
    </xf>
    <xf numFmtId="0" fontId="16" fillId="24" borderId="16" applyAlignment="1" pivotButton="0" quotePrefix="0" xfId="0">
      <alignment horizontal="center" vertical="center" wrapText="1"/>
    </xf>
    <xf numFmtId="0" fontId="13" fillId="0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 wrapText="1"/>
    </xf>
    <xf numFmtId="0" fontId="14" fillId="26" borderId="20" applyAlignment="1" pivotButton="0" quotePrefix="0" xfId="0">
      <alignment vertical="center" wrapText="1"/>
    </xf>
    <xf numFmtId="173" fontId="14" fillId="26" borderId="2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1" fontId="15" fillId="25" borderId="20" applyAlignment="1" pivotButton="0" quotePrefix="0" xfId="0">
      <alignment vertical="center" wrapText="1"/>
    </xf>
    <xf numFmtId="1" fontId="14" fillId="26" borderId="20" applyAlignment="1" pivotButton="0" quotePrefix="0" xfId="0">
      <alignment vertical="center" wrapText="1"/>
    </xf>
    <xf numFmtId="169" fontId="14" fillId="26" borderId="20" applyAlignment="1" pivotButton="0" quotePrefix="0" xfId="0">
      <alignment vertical="center" wrapText="1"/>
    </xf>
    <xf numFmtId="174" fontId="14" fillId="26" borderId="2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EBIT sensitivity by customer rate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Long Distance EBIT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'Sensitivity'!$A$16:$A$28</f>
              <strCache>
                <ptCount val="0"/>
              </strCache>
            </strRef>
          </cat>
          <val>
            <numRef>
              <f>'Sensitivity'!$B$16:$B$28</f>
              <numCache>
                <formatCode>#,##0</formatCode>
                <ptCount val="0"/>
              </numCache>
            </numRef>
          </val>
          <smooth val="0"/>
        </ser>
        <ser>
          <idx val="1"/>
          <order val="1"/>
          <tx>
            <v>Regional EBIT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'Sensitivity'!$A$16:$A$28</f>
              <strCache>
                <ptCount val="0"/>
              </strCache>
            </strRef>
          </cat>
          <val>
            <numRef>
              <f>'Sensitivity'!$C$16:$C$28</f>
              <numCache>
                <formatCode>#,##0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Break-even EUR/tonne-km</v>
          </tx>
          <spPr>
            <a:ln xmlns:a="http://schemas.openxmlformats.org/drawingml/2006/main">
              <a:prstDash val="solid"/>
            </a:ln>
          </spPr>
          <cat>
            <strRef>
              <f>'Sensitivity'!$A$34:$A$42</f>
              <strCache>
                <ptCount val="0"/>
              </strCache>
            </strRef>
          </cat>
          <val>
            <numRef>
              <f>'Sensitivity'!$H$34:$H$42</f>
              <numCache>
                <formatCode>€0.0000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rate by markup over break-even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LD final rate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'Pricing Scenarios'!$K$4:$K$13</f>
              <strCache>
                <ptCount val="0"/>
              </strCache>
            </strRef>
          </cat>
          <val>
            <numRef>
              <f>'Pricing Scenarios'!$L$4:$L$13</f>
              <numCache>
                <formatCode>0.000</formatCode>
                <ptCount val="0"/>
              </numCache>
            </numRef>
          </val>
          <smooth val="0"/>
        </ser>
        <ser>
          <idx val="1"/>
          <order val="1"/>
          <tx>
            <v>Regional final rate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'Pricing Scenarios'!$K$4:$K$13</f>
              <strCache>
                <ptCount val="0"/>
              </strCache>
            </strRef>
          </cat>
          <val>
            <numRef>
              <f>'Pricing Scenarios'!$M$4:$M$13</f>
              <numCache>
                <formatCode>0.000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11</row>
      <rowOff>0</rowOff>
    </from>
    <to>
      <col>17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0</colOff>
      <row>30</row>
      <rowOff>0</rowOff>
    </from>
    <to>
      <col>21</col>
      <colOff>0</colOff>
      <row>50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10</col>
      <colOff>0</colOff>
      <row>14</row>
      <rowOff>0</rowOff>
    </from>
    <to>
      <col>18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putsTable" displayName="InputsTable" ref="A1:E27" headerRowCount="1">
  <tableColumns count="5">
    <tableColumn id="1" name="Input"/>
    <tableColumn id="2" name="Unit"/>
    <tableColumn id="3" name="Long Distance 40t"/>
    <tableColumn id="4" name="Regional 40t"/>
    <tableColumn id="5" name="Comment"/>
  </tableColumns>
  <tableStyleInfo name="TableStyleMedium2" showRowStripes="1"/>
</table>
</file>

<file path=xl/tables/table2.xml><?xml version="1.0" encoding="utf-8"?>
<table xmlns="http://schemas.openxmlformats.org/spreadsheetml/2006/main" id="2" name="EngineTable" displayName="EngineTable" ref="A1:E75" headerRowCount="1">
  <tableColumns count="5">
    <tableColumn id="1" name="Metric"/>
    <tableColumn id="2" name="Unit"/>
    <tableColumn id="3" name="Long Distance 40t"/>
    <tableColumn id="4" name="Regional 40t"/>
    <tableColumn id="5" name="Formula logic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3.77999877929688" customWidth="1" style="60" min="1" max="1"/>
    <col width="70" customWidth="1" style="60" min="2" max="2"/>
  </cols>
  <sheetData>
    <row r="1">
      <c r="A1" s="15" t="inlineStr">
        <is>
          <t>Break-even transport engine</t>
        </is>
      </c>
      <c r="B1" s="1" t="n"/>
      <c r="C1" s="1" t="n"/>
      <c r="D1" s="1" t="n"/>
    </row>
    <row r="2">
      <c r="A2" s="14" t="inlineStr">
        <is>
          <t>Purpose</t>
        </is>
      </c>
      <c r="B2" s="13" t="inlineStr">
        <is>
          <t>Calculate the loaded-km rate, utilisation and revenue required for break-even and target EBIT margin.</t>
        </is>
      </c>
      <c r="C2" s="13" t="str"/>
      <c r="D2" s="13" t="str"/>
    </row>
    <row r="3">
      <c r="A3" s="14" t="inlineStr">
        <is>
          <t>Model design</t>
        </is>
      </c>
      <c r="B3" s="13" t="inlineStr">
        <is>
          <t>Separates variable €/km costs from fixed annual costs, driver costs, structural overhead and optional platform/admin cost.</t>
        </is>
      </c>
      <c r="C3" s="13" t="str"/>
      <c r="D3" s="13" t="str"/>
    </row>
    <row r="4">
      <c r="A4" s="14" t="inlineStr">
        <is>
          <t>Improvement vs original sheet</t>
        </is>
      </c>
      <c r="B4" s="13" t="inlineStr">
        <is>
          <t>Driver taxes are calculated from salary using the tax percentage instead of a hardcoded daily tax value.</t>
        </is>
      </c>
      <c r="C4" s="13" t="str"/>
      <c r="D4" s="13" t="str"/>
    </row>
    <row r="5">
      <c r="A5" s="14" t="inlineStr">
        <is>
          <t>Key output</t>
        </is>
      </c>
      <c r="B5" s="13" t="inlineStr">
        <is>
          <t>Break-even price per loaded km, required price for target margin, break-even loaded km, break-even utilisation, EBIT and safety margin.</t>
        </is>
      </c>
      <c r="C5" s="13" t="str"/>
      <c r="D5" s="13" t="str"/>
    </row>
    <row r="6">
      <c r="A6" s="14" t="inlineStr">
        <is>
          <t>How to use</t>
        </is>
      </c>
      <c r="B6" s="13" t="inlineStr">
        <is>
          <t>Edit assumptions in Inputs. Review results in Engine. Use Sensitivity to test price and load factor.</t>
        </is>
      </c>
      <c r="C6" s="13" t="str"/>
      <c r="D6" s="13" t="str"/>
    </row>
    <row r="7">
      <c r="A7" s="14" t="inlineStr">
        <is>
          <t>Note</t>
        </is>
      </c>
      <c r="B7" s="13" t="inlineStr">
        <is>
          <t>Values are prefilled from the uploaded Vehicle1 and Vehicle2 sheets and can be overwritten.</t>
        </is>
      </c>
      <c r="C7" s="13" t="str"/>
      <c r="D7" s="13" t="str"/>
    </row>
    <row r="9">
      <c r="A9" s="381" t="inlineStr">
        <is>
          <t>Added in this version</t>
        </is>
      </c>
      <c r="B9" s="1" t="n"/>
    </row>
    <row r="10">
      <c r="A10" s="69" t="inlineStr">
        <is>
          <t>Vehicle Classes</t>
        </is>
      </c>
      <c r="B10" s="13" t="inlineStr">
        <is>
          <t>New editable assumption table covering van, rigid trucks, 40t/44t articulated vehicles and EMS/high-capacity 60t scenario.</t>
        </is>
      </c>
    </row>
    <row r="11">
      <c r="A11" s="69" t="inlineStr">
        <is>
          <t>Sensitivity</t>
        </is>
      </c>
      <c r="B11" s="13" t="inlineStr">
        <is>
          <t>New load-capability section compares break-even EUR/loaded-km and EUR/tonne-km by vehicle class.</t>
        </is>
      </c>
    </row>
    <row r="12">
      <c r="A12" s="69" t="inlineStr">
        <is>
          <t>Payload utilisation matrix</t>
        </is>
      </c>
      <c r="B12" s="13" t="inlineStr">
        <is>
          <t>Shows how underloading increases break-even EUR/tonne-km for the same truck type.</t>
        </is>
      </c>
    </row>
    <row r="13">
      <c r="A13" s="69" t="inlineStr">
        <is>
          <t>Regulatory caution</t>
        </is>
      </c>
      <c r="B13" s="13" t="inlineStr">
        <is>
          <t>40t/44t and EMS/high-capacity assumptions depend on the relevant country, route, axle configuration, and permit regime.</t>
        </is>
      </c>
    </row>
    <row r="14">
      <c r="A14" s="69" t="inlineStr">
        <is>
          <t>Sources</t>
        </is>
      </c>
      <c r="B14" s="13" t="inlineStr">
        <is>
          <t>Public source URLs are included on the Vehicle Classes sheet.</t>
        </is>
      </c>
    </row>
    <row r="15">
      <c r="A15" s="69" t="inlineStr">
        <is>
          <t>Model status</t>
        </is>
      </c>
      <c r="B15" s="13" t="inlineStr">
        <is>
          <t>Truck-class cost values are modelling assumptions and should be replaced with actual fleet quotes when available.</t>
        </is>
      </c>
    </row>
    <row r="16">
      <c r="A16" s="180" t="inlineStr">
        <is>
          <t>Daily km driver</t>
        </is>
      </c>
      <c r="B16" s="181" t="inlineStr">
        <is>
          <t>The model now asks for Daily km in Inputs row 2. Annual total km is calculated in Inputs row 28 as Daily km × Operating days, and the Engine uses that calculated annual value.</t>
        </is>
      </c>
    </row>
    <row r="17">
      <c r="A17" t="inlineStr">
        <is>
          <t>Pricing Scenarios</t>
        </is>
      </c>
      <c r="B17" t="inlineStr">
        <is>
          <t>Customer rate is now calculated after break-even as break-even price × selected markup. It is no longer entered in Inputs.</t>
        </is>
      </c>
    </row>
    <row r="18">
      <c r="A18" t="inlineStr">
        <is>
          <t>Pricing caution</t>
        </is>
      </c>
      <c r="B18" t="inlineStr">
        <is>
          <t>Markup over break-even and EBIT margin are not identical. The sheet includes a cross-check for the markup required to reach the target EBIT margin.</t>
        </is>
      </c>
    </row>
    <row r="19">
      <c r="A19" s="179" t="inlineStr">
        <is>
          <t>Company &amp; Tax Profile</t>
        </is>
      </c>
      <c r="B19" s="13" t="inlineStr">
        <is>
          <t>New layer for company type, VAT, business tax, and after-tax profitability.</t>
        </is>
      </c>
    </row>
    <row r="20">
      <c r="A20" s="179" t="inlineStr">
        <is>
          <t>Tax logic</t>
        </is>
      </c>
      <c r="B20" s="13" t="inlineStr">
        <is>
          <t>The engine remains pre-tax. VAT is shown separately and is not treated as revenue or profit.</t>
        </is>
      </c>
    </row>
    <row r="21">
      <c r="A21" s="179" t="inlineStr">
        <is>
          <t>Invoice rate</t>
        </is>
      </c>
      <c r="B21" s="13" t="inlineStr">
        <is>
          <t>Pricing Scenarios now shows both customer rate excl. VAT and invoice rate incl. VAT.</t>
        </is>
      </c>
    </row>
    <row r="22">
      <c r="A22" s="179" t="inlineStr">
        <is>
          <t>After-tax view</t>
        </is>
      </c>
      <c r="B22" s="13" t="inlineStr">
        <is>
          <t>Business tax is applied only to positive EBIT and produces after-tax profit and margin.</t>
        </is>
      </c>
    </row>
    <row r="23">
      <c r="A23" s="179" t="inlineStr">
        <is>
          <t>Important</t>
        </is>
      </c>
      <c r="B23" s="13" t="inlineStr">
        <is>
          <t>Replace default tax rates with local accountant/tax-advisor-confirmed values before commercial use.</t>
        </is>
      </c>
    </row>
    <row r="24">
      <c r="A24" s="179" t="inlineStr">
        <is>
          <t>Model design</t>
        </is>
      </c>
      <c r="B24" s="13" t="inlineStr">
        <is>
          <t>Operational break-even, commercial pricing, and tax treatment are now separated into distinct layers.</t>
        </is>
      </c>
    </row>
    <row r="25">
      <c r="A25" s="375" t="inlineStr">
        <is>
          <t>Cascade tax profile</t>
        </is>
      </c>
      <c r="B25" s="378" t="inlineStr">
        <is>
          <t>Company country / jurisdiction is now the master field. Company type and business model are dependent dropdowns.</t>
        </is>
      </c>
    </row>
    <row r="26">
      <c r="A26" s="376" t="inlineStr">
        <is>
          <t>Country rules</t>
        </is>
      </c>
      <c r="B26" s="379" t="inlineStr">
        <is>
          <t>Tax Rules contains VAT, corporate/business tax, local/trade tax, employer payroll contribution and default vehicle-tax placeholders with sources.</t>
        </is>
      </c>
    </row>
    <row r="27">
      <c r="A27" s="376" t="inlineStr">
        <is>
          <t>Prefilled inputs</t>
        </is>
      </c>
      <c r="B27" s="379" t="inlineStr">
        <is>
          <t>Inputs!Vehicle taxes annual and Inputs!Employer tax rate on salary now pull from Company &amp; Tax Profile.</t>
        </is>
      </c>
    </row>
    <row r="28">
      <c r="A28" s="377" t="inlineStr">
        <is>
          <t>Validation warning</t>
        </is>
      </c>
      <c r="B28" s="380" t="inlineStr">
        <is>
          <t>Country-level rates are for modelling and must be validated with local tax/legal/accounting advice before commercial usage.</t>
        </is>
      </c>
    </row>
  </sheetData>
  <mergeCells count="2">
    <mergeCell ref="A9:B9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.94000053405762" customWidth="1" style="60" min="1" max="1"/>
    <col width="12.38000011444092" customWidth="1" style="60" min="2" max="2"/>
    <col width="14.39999961853027" customWidth="1" style="60" min="3" max="3"/>
    <col width="10.09000015258789" customWidth="1" style="60" min="4" max="4"/>
    <col width="36.34000015258789" customWidth="1" style="60" min="5" max="5"/>
  </cols>
  <sheetData>
    <row r="1">
      <c r="A1" s="24" t="inlineStr">
        <is>
          <t>Input</t>
        </is>
      </c>
      <c r="B1" s="24" t="inlineStr">
        <is>
          <t>Unit</t>
        </is>
      </c>
      <c r="C1" s="24" t="inlineStr">
        <is>
          <t>Long Distance 40t</t>
        </is>
      </c>
      <c r="D1" s="24" t="inlineStr">
        <is>
          <t>Regional 40t</t>
        </is>
      </c>
      <c r="E1" s="24" t="inlineStr">
        <is>
          <t>Comment</t>
        </is>
      </c>
    </row>
    <row r="2">
      <c r="A2" s="13" t="inlineStr">
        <is>
          <t>Daily km</t>
        </is>
      </c>
      <c r="B2" s="13" t="inlineStr">
        <is>
          <t>km/day</t>
        </is>
      </c>
      <c r="C2" s="382" t="n">
        <v>495.183887915937</v>
      </c>
      <c r="D2" s="382" t="n">
        <v>421.505376344086</v>
      </c>
      <c r="E2" s="13" t="inlineStr">
        <is>
          <t>Editable daily distance; annual total km is calculated as daily km × operating days</t>
        </is>
      </c>
    </row>
    <row r="3">
      <c r="A3" s="13" t="inlineStr">
        <is>
          <t>Operating days</t>
        </is>
      </c>
      <c r="B3" s="13" t="inlineStr">
        <is>
          <t>days/year</t>
        </is>
      </c>
      <c r="C3" s="383" t="n">
        <v>228.4</v>
      </c>
      <c r="D3" s="383" t="n">
        <v>232.5</v>
      </c>
      <c r="E3" s="13" t="inlineStr">
        <is>
          <t>Vehicle operating days</t>
        </is>
      </c>
    </row>
    <row r="4">
      <c r="A4" s="13" t="inlineStr">
        <is>
          <t>Working days</t>
        </is>
      </c>
      <c r="B4" s="13" t="inlineStr">
        <is>
          <t>days/year</t>
        </is>
      </c>
      <c r="C4" s="383" t="n">
        <v>215.2</v>
      </c>
      <c r="D4" s="383" t="n">
        <v>214.6</v>
      </c>
      <c r="E4" s="13" t="inlineStr">
        <is>
          <t>Used for driver allowance calculation</t>
        </is>
      </c>
    </row>
    <row r="5">
      <c r="A5" s="13" t="inlineStr">
        <is>
          <t>Annual working hours</t>
        </is>
      </c>
      <c r="B5" s="13" t="inlineStr">
        <is>
          <t>hours/year</t>
        </is>
      </c>
      <c r="C5" s="383" t="n">
        <v>2123</v>
      </c>
      <c r="D5" s="383" t="n">
        <v>2058</v>
      </c>
      <c r="E5" s="13" t="inlineStr">
        <is>
          <t>Available driver working hours</t>
        </is>
      </c>
    </row>
    <row r="6">
      <c r="A6" s="13" t="inlineStr">
        <is>
          <t>Average speed</t>
        </is>
      </c>
      <c r="B6" s="13" t="inlineStr">
        <is>
          <t>km/h</t>
        </is>
      </c>
      <c r="C6" s="383" t="n">
        <v>63.9</v>
      </c>
      <c r="D6" s="383" t="n">
        <v>62.5</v>
      </c>
      <c r="E6" s="13" t="inlineStr">
        <is>
          <t>Used to estimate driving hours</t>
        </is>
      </c>
    </row>
    <row r="7">
      <c r="A7" s="13" t="inlineStr">
        <is>
          <t>Loaded ratio</t>
        </is>
      </c>
      <c r="B7" s="13" t="inlineStr">
        <is>
          <t>% loaded km</t>
        </is>
      </c>
      <c r="C7" s="384" t="n">
        <v>0.853</v>
      </c>
      <c r="D7" s="384" t="n">
        <v>0.805</v>
      </c>
      <c r="E7" s="13" t="inlineStr">
        <is>
          <t>Revenue km divided by total km</t>
        </is>
      </c>
    </row>
    <row r="8">
      <c r="A8" s="13" t="inlineStr">
        <is>
          <t>Capacity utilisation</t>
        </is>
      </c>
      <c r="B8" s="13" t="inlineStr">
        <is>
          <t>% capacity</t>
        </is>
      </c>
      <c r="C8" s="384" t="n">
        <v>0.868</v>
      </c>
      <c r="D8" s="384" t="n">
        <v>0.9389999999999999</v>
      </c>
      <c r="E8" s="13" t="inlineStr">
        <is>
          <t>Payload/capacity usage; diagnostic only</t>
        </is>
      </c>
    </row>
    <row r="9">
      <c r="A9" s="13" t="inlineStr">
        <is>
          <t>Waiting/loading/unloading time</t>
        </is>
      </c>
      <c r="B9" s="13" t="inlineStr">
        <is>
          <t>hours/day</t>
        </is>
      </c>
      <c r="C9" s="383" t="n">
        <v>3.3833333333</v>
      </c>
      <c r="D9" s="383" t="n">
        <v>3.4</v>
      </c>
      <c r="E9" s="13" t="inlineStr">
        <is>
          <t>Converted from original waiting-time text</t>
        </is>
      </c>
    </row>
    <row r="10">
      <c r="A10" s="13" t="inlineStr">
        <is>
          <t>Fuel consumption</t>
        </is>
      </c>
      <c r="B10" s="13" t="inlineStr">
        <is>
          <t>L/100km</t>
        </is>
      </c>
      <c r="C10" s="383" t="n">
        <v>34.2</v>
      </c>
      <c r="D10" s="383" t="n">
        <v>33.8</v>
      </c>
      <c r="E10" s="13" t="inlineStr">
        <is>
          <t>Average consumption</t>
        </is>
      </c>
    </row>
    <row r="11">
      <c r="A11" s="13" t="inlineStr">
        <is>
          <t>Fuel price excl. VAT</t>
        </is>
      </c>
      <c r="B11" s="13" t="inlineStr">
        <is>
          <t>EUR/L</t>
        </is>
      </c>
      <c r="C11" s="383" t="n">
        <v>1.265524625</v>
      </c>
      <c r="D11" s="383" t="n">
        <v>1.265524625</v>
      </c>
      <c r="E11" s="13" t="inlineStr">
        <is>
          <t>Original formula 5.91 / 4.67</t>
        </is>
      </c>
    </row>
    <row r="12">
      <c r="A12" s="13" t="inlineStr">
        <is>
          <t>Tyres annual cost</t>
        </is>
      </c>
      <c r="B12" s="13" t="inlineStr">
        <is>
          <t>EUR/year</t>
        </is>
      </c>
      <c r="C12" s="383" t="n">
        <v>3098</v>
      </c>
      <c r="D12" s="383" t="n">
        <v>3101</v>
      </c>
      <c r="E12" s="13" t="str"/>
    </row>
    <row r="13">
      <c r="A13" s="13" t="inlineStr">
        <is>
          <t>Maintenance annual cost</t>
        </is>
      </c>
      <c r="B13" s="13" t="inlineStr">
        <is>
          <t>EUR/year</t>
        </is>
      </c>
      <c r="C13" s="383" t="n">
        <v>8221</v>
      </c>
      <c r="D13" s="383" t="n">
        <v>7278</v>
      </c>
      <c r="E13" s="13" t="str"/>
    </row>
    <row r="14">
      <c r="A14" s="13" t="inlineStr">
        <is>
          <t>Road fees annual cost</t>
        </is>
      </c>
      <c r="B14" s="13" t="inlineStr">
        <is>
          <t>EUR/year</t>
        </is>
      </c>
      <c r="C14" s="383" t="n">
        <v>8090</v>
      </c>
      <c r="D14" s="383" t="n">
        <v>5805</v>
      </c>
      <c r="E14" s="13" t="str"/>
    </row>
    <row r="15">
      <c r="A15" s="13" t="inlineStr">
        <is>
          <t>Tractor ownership annual cost</t>
        </is>
      </c>
      <c r="B15" s="13" t="inlineStr">
        <is>
          <t>EUR/year</t>
        </is>
      </c>
      <c r="C15" s="383" t="n">
        <v>10793</v>
      </c>
      <c r="D15" s="383" t="n">
        <v>10934</v>
      </c>
      <c r="E15" s="13" t="str"/>
    </row>
    <row r="16">
      <c r="A16" s="13" t="inlineStr">
        <is>
          <t>Trailer ownership annual cost</t>
        </is>
      </c>
      <c r="B16" s="13" t="inlineStr">
        <is>
          <t>EUR/year</t>
        </is>
      </c>
      <c r="C16" s="383" t="n">
        <v>3208</v>
      </c>
      <c r="D16" s="383" t="n">
        <v>3551</v>
      </c>
      <c r="E16" s="13" t="str"/>
    </row>
    <row r="17">
      <c r="A17" s="13" t="inlineStr">
        <is>
          <t>Vehicle insurance annual</t>
        </is>
      </c>
      <c r="B17" s="13" t="inlineStr">
        <is>
          <t>EUR/year</t>
        </is>
      </c>
      <c r="C17" s="383" t="n">
        <v>2198</v>
      </c>
      <c r="D17" s="383" t="n">
        <v>2598</v>
      </c>
      <c r="E17" s="13" t="str"/>
    </row>
    <row r="18">
      <c r="A18" s="13" t="inlineStr">
        <is>
          <t>Cargo insurance annual</t>
        </is>
      </c>
      <c r="B18" s="13" t="inlineStr">
        <is>
          <t>EUR/year</t>
        </is>
      </c>
      <c r="C18" s="383" t="n">
        <v>477</v>
      </c>
      <c r="D18" s="383" t="n">
        <v>411</v>
      </c>
      <c r="E18" s="13" t="str"/>
    </row>
    <row r="19">
      <c r="A19" s="13" t="inlineStr">
        <is>
          <t>Vehicle taxes annual</t>
        </is>
      </c>
      <c r="B19" s="13" t="inlineStr">
        <is>
          <t>EUR/year</t>
        </is>
      </c>
      <c r="C19" s="385">
        <f>'Company &amp; Tax Profile'!$B$16</f>
        <v/>
      </c>
      <c r="D19" s="385">
        <f>'Company &amp; Tax Profile'!$B$16</f>
        <v/>
      </c>
      <c r="E19" s="13" t="inlineStr">
        <is>
          <t>Linked from Company &amp; Tax Profile; replace country default with vehicle-specific tax if needed.</t>
        </is>
      </c>
    </row>
    <row r="20">
      <c r="A20" s="13" t="inlineStr">
        <is>
          <t>Monthly driver salary</t>
        </is>
      </c>
      <c r="B20" s="13" t="inlineStr">
        <is>
          <t>EUR/month</t>
        </is>
      </c>
      <c r="C20" s="383" t="n">
        <v>2348.72</v>
      </c>
      <c r="D20" s="383" t="n">
        <v>2182.15</v>
      </c>
      <c r="E20" s="13" t="str"/>
    </row>
    <row r="21">
      <c r="A21" s="13" t="inlineStr">
        <is>
          <t>Employer tax rate on salary</t>
        </is>
      </c>
      <c r="B21" s="13" t="inlineStr">
        <is>
          <t>%</t>
        </is>
      </c>
      <c r="C21" s="386">
        <f>'Company &amp; Tax Profile'!$B$14</f>
        <v/>
      </c>
      <c r="D21" s="386">
        <f>'Company &amp; Tax Profile'!$B$14</f>
        <v/>
      </c>
      <c r="E21" s="13" t="inlineStr">
        <is>
          <t>Linked from Company &amp; Tax Profile employer payroll contribution rate.</t>
        </is>
      </c>
    </row>
    <row r="22">
      <c r="A22" s="13" t="inlineStr">
        <is>
          <t>Travel allowance per working day</t>
        </is>
      </c>
      <c r="B22" s="13" t="inlineStr">
        <is>
          <t>EUR/day</t>
        </is>
      </c>
      <c r="C22" s="383" t="n">
        <v>38.36</v>
      </c>
      <c r="D22" s="383" t="n">
        <v>16.53</v>
      </c>
      <c r="E22" s="13" t="str"/>
    </row>
    <row r="23">
      <c r="A23" s="13" t="inlineStr">
        <is>
          <t>Drivers per vehicle</t>
        </is>
      </c>
      <c r="B23" s="13" t="inlineStr">
        <is>
          <t>count</t>
        </is>
      </c>
      <c r="C23" s="383" t="n">
        <v>1.064</v>
      </c>
      <c r="D23" s="383" t="n">
        <v>1.085</v>
      </c>
      <c r="E23" s="13" t="str"/>
    </row>
    <row r="24">
      <c r="A24" s="13" t="inlineStr">
        <is>
          <t>Structural overhead annual</t>
        </is>
      </c>
      <c r="B24" s="13" t="inlineStr">
        <is>
          <t>EUR/year</t>
        </is>
      </c>
      <c r="C24" s="383" t="n">
        <v>17886</v>
      </c>
      <c r="D24" s="383" t="n">
        <v>17820</v>
      </c>
      <c r="E24" s="13" t="str"/>
    </row>
    <row r="25">
      <c r="A25" s="13" t="inlineStr">
        <is>
          <t>Commercial/admin overhead annual cost</t>
        </is>
      </c>
      <c r="B25" s="13" t="inlineStr">
        <is>
          <t>EUR/year</t>
        </is>
      </c>
      <c r="C25" s="383" t="n">
        <v>0</v>
      </c>
      <c r="D25" s="383" t="n">
        <v>0</v>
      </c>
      <c r="E25" s="13" t="inlineStr">
        <is>
          <t>Optional general commercial overhead, set to zero by default</t>
        </is>
      </c>
    </row>
    <row r="26">
      <c r="A26" s="13" t="inlineStr">
        <is>
          <t>Target EBIT margin</t>
        </is>
      </c>
      <c r="B26" s="13" t="inlineStr">
        <is>
          <t>% revenue</t>
        </is>
      </c>
      <c r="C26" s="384" t="n">
        <v>0.1</v>
      </c>
      <c r="D26" s="384" t="n">
        <v>0.1</v>
      </c>
      <c r="E26" s="13" t="inlineStr">
        <is>
          <t>Required margin on revenue</t>
        </is>
      </c>
    </row>
    <row r="27">
      <c r="A27" s="206" t="inlineStr">
        <is>
          <t>Customer pricing source</t>
        </is>
      </c>
      <c r="B27" s="206" t="inlineStr">
        <is>
          <t>sheet</t>
        </is>
      </c>
      <c r="C27" s="387" t="inlineStr">
        <is>
          <t>Pricing Scenarios</t>
        </is>
      </c>
      <c r="D27" s="387" t="inlineStr">
        <is>
          <t>Pricing Scenarios</t>
        </is>
      </c>
      <c r="E27" s="206" t="inlineStr">
        <is>
          <t>Customer rate is calculated after break-even; it is no longer an input assumption.</t>
        </is>
      </c>
    </row>
    <row r="28">
      <c r="A28" s="176" t="inlineStr">
        <is>
          <t>Computed annual total km</t>
        </is>
      </c>
      <c r="B28" s="176" t="inlineStr">
        <is>
          <t>km/year</t>
        </is>
      </c>
      <c r="C28" s="388">
        <f>C2*C3</f>
        <v/>
      </c>
      <c r="D28" s="388">
        <f>D2*D3</f>
        <v/>
      </c>
      <c r="E28" s="176" t="inlineStr">
        <is>
          <t>Formula: daily km × operating days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.13000106811523" customWidth="1" style="60" min="1" max="1"/>
    <col width="12.38000011444092" customWidth="1" style="60" min="2" max="2"/>
    <col width="14.39999961853027" customWidth="1" style="60" min="3" max="3"/>
    <col width="10.09000015258789" customWidth="1" style="60" min="4" max="4"/>
    <col width="42.65999984741211" customWidth="1" style="60" min="5" max="5"/>
  </cols>
  <sheetData>
    <row r="1">
      <c r="A1" s="24" t="inlineStr">
        <is>
          <t>Metric</t>
        </is>
      </c>
      <c r="B1" s="24" t="inlineStr">
        <is>
          <t>Unit</t>
        </is>
      </c>
      <c r="C1" s="24" t="inlineStr">
        <is>
          <t>Long Distance 40t</t>
        </is>
      </c>
      <c r="D1" s="24" t="inlineStr">
        <is>
          <t>Regional 40t</t>
        </is>
      </c>
      <c r="E1" s="24" t="inlineStr">
        <is>
          <t>Formula logic</t>
        </is>
      </c>
    </row>
    <row r="2">
      <c r="A2" s="14" t="inlineStr">
        <is>
          <t>Input links</t>
        </is>
      </c>
      <c r="B2" s="14" t="str"/>
      <c r="C2" s="14" t="str"/>
      <c r="D2" s="14" t="str"/>
      <c r="E2" s="14" t="str"/>
    </row>
    <row r="3">
      <c r="A3" s="13" t="inlineStr">
        <is>
          <t>Annual total km</t>
        </is>
      </c>
      <c r="B3" s="13" t="inlineStr">
        <is>
          <t>km/year</t>
        </is>
      </c>
      <c r="C3" s="389">
        <f>Inputs!C28</f>
        <v/>
      </c>
      <c r="D3" s="389">
        <f>Inputs!D28</f>
        <v/>
      </c>
      <c r="E3" s="13" t="inlineStr">
        <is>
          <t>Computed from daily km × operating days</t>
        </is>
      </c>
    </row>
    <row r="4">
      <c r="A4" s="13" t="inlineStr">
        <is>
          <t>Operating days</t>
        </is>
      </c>
      <c r="B4" s="13" t="inlineStr">
        <is>
          <t>days/year</t>
        </is>
      </c>
      <c r="C4" s="389">
        <f>Inputs!C3</f>
        <v/>
      </c>
      <c r="D4" s="389">
        <f>Inputs!D3</f>
        <v/>
      </c>
      <c r="E4" s="13" t="inlineStr">
        <is>
          <t>Inputs</t>
        </is>
      </c>
    </row>
    <row r="5">
      <c r="A5" s="13" t="inlineStr">
        <is>
          <t>Working days</t>
        </is>
      </c>
      <c r="B5" s="13" t="inlineStr">
        <is>
          <t>days/year</t>
        </is>
      </c>
      <c r="C5" s="389">
        <f>Inputs!C4</f>
        <v/>
      </c>
      <c r="D5" s="389">
        <f>Inputs!D4</f>
        <v/>
      </c>
      <c r="E5" s="13" t="inlineStr">
        <is>
          <t>Inputs</t>
        </is>
      </c>
    </row>
    <row r="6">
      <c r="A6" s="13" t="inlineStr">
        <is>
          <t>Annual working hours</t>
        </is>
      </c>
      <c r="B6" s="13" t="inlineStr">
        <is>
          <t>hours/year</t>
        </is>
      </c>
      <c r="C6" s="389">
        <f>Inputs!C5</f>
        <v/>
      </c>
      <c r="D6" s="389">
        <f>Inputs!D5</f>
        <v/>
      </c>
      <c r="E6" s="13" t="inlineStr">
        <is>
          <t>Inputs</t>
        </is>
      </c>
    </row>
    <row r="7">
      <c r="A7" s="13" t="inlineStr">
        <is>
          <t>Average speed</t>
        </is>
      </c>
      <c r="B7" s="13" t="inlineStr">
        <is>
          <t>km/h</t>
        </is>
      </c>
      <c r="C7" s="389">
        <f>Inputs!C6</f>
        <v/>
      </c>
      <c r="D7" s="389">
        <f>Inputs!D6</f>
        <v/>
      </c>
      <c r="E7" s="13" t="inlineStr">
        <is>
          <t>Inputs</t>
        </is>
      </c>
    </row>
    <row r="8">
      <c r="A8" s="13" t="inlineStr">
        <is>
          <t>Loaded ratio</t>
        </is>
      </c>
      <c r="B8" s="13" t="inlineStr">
        <is>
          <t>% loaded km</t>
        </is>
      </c>
      <c r="C8" s="390">
        <f>Inputs!C7</f>
        <v/>
      </c>
      <c r="D8" s="390">
        <f>Inputs!D7</f>
        <v/>
      </c>
      <c r="E8" s="13" t="inlineStr">
        <is>
          <t>Inputs</t>
        </is>
      </c>
    </row>
    <row r="9">
      <c r="A9" s="13" t="inlineStr">
        <is>
          <t>Capacity utilisation</t>
        </is>
      </c>
      <c r="B9" s="13" t="inlineStr">
        <is>
          <t>% capacity</t>
        </is>
      </c>
      <c r="C9" s="390">
        <f>Inputs!C8</f>
        <v/>
      </c>
      <c r="D9" s="390">
        <f>Inputs!D8</f>
        <v/>
      </c>
      <c r="E9" s="13" t="inlineStr">
        <is>
          <t>Diagnostic</t>
        </is>
      </c>
    </row>
    <row r="10">
      <c r="A10" s="13" t="inlineStr">
        <is>
          <t>Waiting/loading/unloading time</t>
        </is>
      </c>
      <c r="B10" s="13" t="inlineStr">
        <is>
          <t>hours/day</t>
        </is>
      </c>
      <c r="C10" s="389">
        <f>Inputs!C9</f>
        <v/>
      </c>
      <c r="D10" s="389">
        <f>Inputs!D9</f>
        <v/>
      </c>
      <c r="E10" s="13" t="inlineStr">
        <is>
          <t>Inputs</t>
        </is>
      </c>
    </row>
    <row r="11">
      <c r="A11" s="13" t="inlineStr">
        <is>
          <t>Fuel consumption</t>
        </is>
      </c>
      <c r="B11" s="13" t="inlineStr">
        <is>
          <t>L/100km</t>
        </is>
      </c>
      <c r="C11" s="389">
        <f>Inputs!C10</f>
        <v/>
      </c>
      <c r="D11" s="389">
        <f>Inputs!D10</f>
        <v/>
      </c>
      <c r="E11" s="13" t="inlineStr">
        <is>
          <t>Inputs</t>
        </is>
      </c>
    </row>
    <row r="12">
      <c r="A12" s="13" t="inlineStr">
        <is>
          <t>Fuel price excl. VAT</t>
        </is>
      </c>
      <c r="B12" s="13" t="inlineStr">
        <is>
          <t>EUR/L</t>
        </is>
      </c>
      <c r="C12" s="389">
        <f>Inputs!C11</f>
        <v/>
      </c>
      <c r="D12" s="389">
        <f>Inputs!D11</f>
        <v/>
      </c>
      <c r="E12" s="13" t="inlineStr">
        <is>
          <t>Inputs</t>
        </is>
      </c>
    </row>
    <row r="13">
      <c r="A13" s="13" t="inlineStr">
        <is>
          <t>Tyres annual cost</t>
        </is>
      </c>
      <c r="B13" s="13" t="inlineStr">
        <is>
          <t>EUR/year</t>
        </is>
      </c>
      <c r="C13" s="389">
        <f>Inputs!C12</f>
        <v/>
      </c>
      <c r="D13" s="389">
        <f>Inputs!D12</f>
        <v/>
      </c>
      <c r="E13" s="13" t="inlineStr">
        <is>
          <t>Inputs</t>
        </is>
      </c>
    </row>
    <row r="14">
      <c r="A14" s="13" t="inlineStr">
        <is>
          <t>Maintenance annual cost</t>
        </is>
      </c>
      <c r="B14" s="13" t="inlineStr">
        <is>
          <t>EUR/year</t>
        </is>
      </c>
      <c r="C14" s="389">
        <f>Inputs!C13</f>
        <v/>
      </c>
      <c r="D14" s="389">
        <f>Inputs!D13</f>
        <v/>
      </c>
      <c r="E14" s="13" t="inlineStr">
        <is>
          <t>Inputs</t>
        </is>
      </c>
    </row>
    <row r="15">
      <c r="A15" s="13" t="inlineStr">
        <is>
          <t>Road fees annual cost</t>
        </is>
      </c>
      <c r="B15" s="13" t="inlineStr">
        <is>
          <t>EUR/year</t>
        </is>
      </c>
      <c r="C15" s="389">
        <f>Inputs!C14</f>
        <v/>
      </c>
      <c r="D15" s="389">
        <f>Inputs!D14</f>
        <v/>
      </c>
      <c r="E15" s="13" t="inlineStr">
        <is>
          <t>Inputs</t>
        </is>
      </c>
    </row>
    <row r="16">
      <c r="A16" s="13" t="inlineStr">
        <is>
          <t>Tractor ownership annual cost</t>
        </is>
      </c>
      <c r="B16" s="13" t="inlineStr">
        <is>
          <t>EUR/year</t>
        </is>
      </c>
      <c r="C16" s="389">
        <f>Inputs!C15</f>
        <v/>
      </c>
      <c r="D16" s="389">
        <f>Inputs!D15</f>
        <v/>
      </c>
      <c r="E16" s="13" t="inlineStr">
        <is>
          <t>Inputs</t>
        </is>
      </c>
    </row>
    <row r="17">
      <c r="A17" s="13" t="inlineStr">
        <is>
          <t>Trailer ownership annual cost</t>
        </is>
      </c>
      <c r="B17" s="13" t="inlineStr">
        <is>
          <t>EUR/year</t>
        </is>
      </c>
      <c r="C17" s="389">
        <f>Inputs!C16</f>
        <v/>
      </c>
      <c r="D17" s="389">
        <f>Inputs!D16</f>
        <v/>
      </c>
      <c r="E17" s="13" t="inlineStr">
        <is>
          <t>Inputs</t>
        </is>
      </c>
    </row>
    <row r="18">
      <c r="A18" s="13" t="inlineStr">
        <is>
          <t>Vehicle insurance annual</t>
        </is>
      </c>
      <c r="B18" s="13" t="inlineStr">
        <is>
          <t>EUR/year</t>
        </is>
      </c>
      <c r="C18" s="389">
        <f>Inputs!C17</f>
        <v/>
      </c>
      <c r="D18" s="389">
        <f>Inputs!D17</f>
        <v/>
      </c>
      <c r="E18" s="13" t="inlineStr">
        <is>
          <t>Inputs</t>
        </is>
      </c>
    </row>
    <row r="19">
      <c r="A19" s="13" t="inlineStr">
        <is>
          <t>Cargo insurance annual</t>
        </is>
      </c>
      <c r="B19" s="13" t="inlineStr">
        <is>
          <t>EUR/year</t>
        </is>
      </c>
      <c r="C19" s="389">
        <f>Inputs!C18</f>
        <v/>
      </c>
      <c r="D19" s="389">
        <f>Inputs!D18</f>
        <v/>
      </c>
      <c r="E19" s="13" t="inlineStr">
        <is>
          <t>Inputs</t>
        </is>
      </c>
    </row>
    <row r="20">
      <c r="A20" s="13" t="inlineStr">
        <is>
          <t>Vehicle taxes annual</t>
        </is>
      </c>
      <c r="B20" s="13" t="inlineStr">
        <is>
          <t>EUR/year</t>
        </is>
      </c>
      <c r="C20" s="389">
        <f>Inputs!C19</f>
        <v/>
      </c>
      <c r="D20" s="389">
        <f>Inputs!D19</f>
        <v/>
      </c>
      <c r="E20" s="13" t="inlineStr">
        <is>
          <t>Inputs</t>
        </is>
      </c>
    </row>
    <row r="21">
      <c r="A21" s="13" t="inlineStr">
        <is>
          <t>Monthly driver salary</t>
        </is>
      </c>
      <c r="B21" s="13" t="inlineStr">
        <is>
          <t>EUR/month</t>
        </is>
      </c>
      <c r="C21" s="389">
        <f>Inputs!C20</f>
        <v/>
      </c>
      <c r="D21" s="389">
        <f>Inputs!D20</f>
        <v/>
      </c>
      <c r="E21" s="13" t="inlineStr">
        <is>
          <t>Inputs</t>
        </is>
      </c>
    </row>
    <row r="22">
      <c r="A22" s="13" t="inlineStr">
        <is>
          <t>Employer tax rate on salary</t>
        </is>
      </c>
      <c r="B22" s="13" t="inlineStr">
        <is>
          <t>%</t>
        </is>
      </c>
      <c r="C22" s="390">
        <f>Inputs!C21</f>
        <v/>
      </c>
      <c r="D22" s="390">
        <f>Inputs!D21</f>
        <v/>
      </c>
      <c r="E22" s="13" t="inlineStr">
        <is>
          <t>Inputs</t>
        </is>
      </c>
    </row>
    <row r="23">
      <c r="A23" s="13" t="inlineStr">
        <is>
          <t>Travel allowance per working day</t>
        </is>
      </c>
      <c r="B23" s="13" t="inlineStr">
        <is>
          <t>EUR/day</t>
        </is>
      </c>
      <c r="C23" s="389">
        <f>Inputs!C22</f>
        <v/>
      </c>
      <c r="D23" s="389">
        <f>Inputs!D22</f>
        <v/>
      </c>
      <c r="E23" s="13" t="inlineStr">
        <is>
          <t>Inputs</t>
        </is>
      </c>
    </row>
    <row r="24">
      <c r="A24" s="13" t="inlineStr">
        <is>
          <t>Drivers per vehicle</t>
        </is>
      </c>
      <c r="B24" s="13" t="inlineStr">
        <is>
          <t>count</t>
        </is>
      </c>
      <c r="C24" s="389">
        <f>Inputs!C23</f>
        <v/>
      </c>
      <c r="D24" s="389">
        <f>Inputs!D23</f>
        <v/>
      </c>
      <c r="E24" s="13" t="inlineStr">
        <is>
          <t>Inputs</t>
        </is>
      </c>
    </row>
    <row r="25">
      <c r="A25" s="13" t="inlineStr">
        <is>
          <t>Structural overhead annual</t>
        </is>
      </c>
      <c r="B25" s="13" t="inlineStr">
        <is>
          <t>EUR/year</t>
        </is>
      </c>
      <c r="C25" s="389">
        <f>Inputs!C24</f>
        <v/>
      </c>
      <c r="D25" s="389">
        <f>Inputs!D24</f>
        <v/>
      </c>
      <c r="E25" s="13" t="inlineStr">
        <is>
          <t>Inputs</t>
        </is>
      </c>
    </row>
    <row r="26">
      <c r="A26" s="13" t="inlineStr">
        <is>
          <t>Commercial/admin overhead annual cost</t>
        </is>
      </c>
      <c r="B26" s="13" t="inlineStr">
        <is>
          <t>EUR/year</t>
        </is>
      </c>
      <c r="C26" s="389">
        <f>Inputs!C25</f>
        <v/>
      </c>
      <c r="D26" s="389">
        <f>Inputs!D25</f>
        <v/>
      </c>
      <c r="E26" s="13" t="inlineStr">
        <is>
          <t>Inputs</t>
        </is>
      </c>
    </row>
    <row r="27">
      <c r="A27" s="13" t="inlineStr">
        <is>
          <t>Target EBIT margin</t>
        </is>
      </c>
      <c r="B27" s="13" t="inlineStr">
        <is>
          <t>% revenue</t>
        </is>
      </c>
      <c r="C27" s="390">
        <f>Inputs!C26</f>
        <v/>
      </c>
      <c r="D27" s="390">
        <f>Inputs!D26</f>
        <v/>
      </c>
      <c r="E27" s="13" t="inlineStr">
        <is>
          <t>Inputs</t>
        </is>
      </c>
    </row>
    <row r="28">
      <c r="A28" s="210" t="inlineStr">
        <is>
          <t>Selected customer rate per loaded km</t>
        </is>
      </c>
      <c r="B28" s="210" t="inlineStr">
        <is>
          <t>EUR/loaded km</t>
        </is>
      </c>
      <c r="C28" s="391">
        <f>'Pricing Scenarios'!C18</f>
        <v/>
      </c>
      <c r="D28" s="391">
        <f>'Pricing Scenarios'!D18</f>
        <v/>
      </c>
      <c r="E28" s="210" t="inlineStr">
        <is>
          <t>Calculated in Pricing Scenarios after break-even price</t>
        </is>
      </c>
    </row>
    <row r="29">
      <c r="A29" s="13" t="str"/>
      <c r="B29" s="13" t="str"/>
      <c r="C29" s="389" t="str"/>
      <c r="D29" s="389" t="str"/>
      <c r="E29" s="13" t="str"/>
    </row>
    <row r="30">
      <c r="A30" s="14" t="inlineStr">
        <is>
          <t>Operational outputs</t>
        </is>
      </c>
      <c r="B30" s="14" t="str"/>
      <c r="C30" s="392" t="str"/>
      <c r="D30" s="392" t="str"/>
      <c r="E30" s="14" t="str"/>
    </row>
    <row r="31">
      <c r="A31" s="13" t="inlineStr">
        <is>
          <t>Loaded revenue km</t>
        </is>
      </c>
      <c r="B31" s="13" t="inlineStr">
        <is>
          <t>km/year</t>
        </is>
      </c>
      <c r="C31" s="389">
        <f>IFERROR(C3*C8,0)</f>
        <v/>
      </c>
      <c r="D31" s="389">
        <f>IFERROR(D3*D8,0)</f>
        <v/>
      </c>
      <c r="E31" s="13" t="inlineStr">
        <is>
          <t>Annual total km × loaded ratio</t>
        </is>
      </c>
    </row>
    <row r="32">
      <c r="A32" s="13" t="inlineStr">
        <is>
          <t>Empty/non-revenue km</t>
        </is>
      </c>
      <c r="B32" s="13" t="inlineStr">
        <is>
          <t>km/year</t>
        </is>
      </c>
      <c r="C32" s="389">
        <f>IFERROR(C3-C31,0)</f>
        <v/>
      </c>
      <c r="D32" s="389">
        <f>IFERROR(D3-D31,0)</f>
        <v/>
      </c>
      <c r="E32" s="13" t="inlineStr">
        <is>
          <t>Annual total km - loaded km</t>
        </is>
      </c>
    </row>
    <row r="33">
      <c r="A33" s="13" t="inlineStr">
        <is>
          <t>Driving hours</t>
        </is>
      </c>
      <c r="B33" s="13" t="inlineStr">
        <is>
          <t>hours/year</t>
        </is>
      </c>
      <c r="C33" s="389">
        <f>IFERROR(C3/C7,0)</f>
        <v/>
      </c>
      <c r="D33" s="389">
        <f>IFERROR(D3/D7,0)</f>
        <v/>
      </c>
      <c r="E33" s="13" t="inlineStr">
        <is>
          <t>Annual total km / average speed</t>
        </is>
      </c>
    </row>
    <row r="34">
      <c r="A34" s="13" t="inlineStr">
        <is>
          <t>Waiting/loading/unloading hours</t>
        </is>
      </c>
      <c r="B34" s="13" t="inlineStr">
        <is>
          <t>hours/year</t>
        </is>
      </c>
      <c r="C34" s="389">
        <f>IFERROR(C4*C10,0)</f>
        <v/>
      </c>
      <c r="D34" s="389">
        <f>IFERROR(D4*D10,0)</f>
        <v/>
      </c>
      <c r="E34" s="13" t="inlineStr">
        <is>
          <t>Operating days × waiting time/day</t>
        </is>
      </c>
    </row>
    <row r="35">
      <c r="A35" s="13" t="inlineStr">
        <is>
          <t>Total activity hours</t>
        </is>
      </c>
      <c r="B35" s="13" t="inlineStr">
        <is>
          <t>hours/year</t>
        </is>
      </c>
      <c r="C35" s="389">
        <f>IFERROR(C33+C34,0)</f>
        <v/>
      </c>
      <c r="D35" s="389">
        <f>IFERROR(D33+D34,0)</f>
        <v/>
      </c>
      <c r="E35" s="13" t="inlineStr">
        <is>
          <t>Driving hours + waiting/loading/unloading hours</t>
        </is>
      </c>
    </row>
    <row r="36">
      <c r="A36" s="13" t="str"/>
      <c r="B36" s="13" t="str"/>
      <c r="C36" s="389" t="str"/>
      <c r="D36" s="389" t="str"/>
      <c r="E36" s="13" t="str"/>
    </row>
    <row r="37">
      <c r="A37" s="14" t="inlineStr">
        <is>
          <t>Variable cost block</t>
        </is>
      </c>
      <c r="B37" s="14" t="str"/>
      <c r="C37" s="392" t="str"/>
      <c r="D37" s="392" t="str"/>
      <c r="E37" s="14" t="str"/>
    </row>
    <row r="38">
      <c r="A38" s="13" t="inlineStr">
        <is>
          <t>Fuel cost</t>
        </is>
      </c>
      <c r="B38" s="13" t="inlineStr">
        <is>
          <t>EUR/total km</t>
        </is>
      </c>
      <c r="C38" s="393">
        <f>IFERROR(C11/100*C12,0)</f>
        <v/>
      </c>
      <c r="D38" s="393">
        <f>IFERROR(D11/100*D12,0)</f>
        <v/>
      </c>
      <c r="E38" s="13" t="inlineStr">
        <is>
          <t>Fuel consumption / 100 × fuel price</t>
        </is>
      </c>
    </row>
    <row r="39">
      <c r="A39" s="13" t="inlineStr">
        <is>
          <t>Tyres cost</t>
        </is>
      </c>
      <c r="B39" s="13" t="inlineStr">
        <is>
          <t>EUR/total km</t>
        </is>
      </c>
      <c r="C39" s="393">
        <f>IFERROR(C13/C3,0)</f>
        <v/>
      </c>
      <c r="D39" s="393">
        <f>IFERROR(D13/D3,0)</f>
        <v/>
      </c>
      <c r="E39" s="13" t="inlineStr">
        <is>
          <t>Annual tyres / annual total km</t>
        </is>
      </c>
    </row>
    <row r="40">
      <c r="A40" s="13" t="inlineStr">
        <is>
          <t>Maintenance cost</t>
        </is>
      </c>
      <c r="B40" s="13" t="inlineStr">
        <is>
          <t>EUR/total km</t>
        </is>
      </c>
      <c r="C40" s="393">
        <f>IFERROR(C14/C3,0)</f>
        <v/>
      </c>
      <c r="D40" s="393">
        <f>IFERROR(D14/D3,0)</f>
        <v/>
      </c>
      <c r="E40" s="13" t="inlineStr">
        <is>
          <t>Annual maintenance / annual total km</t>
        </is>
      </c>
    </row>
    <row r="41">
      <c r="A41" s="13" t="inlineStr">
        <is>
          <t>Road fees cost</t>
        </is>
      </c>
      <c r="B41" s="13" t="inlineStr">
        <is>
          <t>EUR/total km</t>
        </is>
      </c>
      <c r="C41" s="393">
        <f>IFERROR(C15/C3,0)</f>
        <v/>
      </c>
      <c r="D41" s="393">
        <f>IFERROR(D15/D3,0)</f>
        <v/>
      </c>
      <c r="E41" s="13" t="inlineStr">
        <is>
          <t>Annual road fees / annual total km</t>
        </is>
      </c>
    </row>
    <row r="42">
      <c r="A42" s="13" t="inlineStr">
        <is>
          <t>Variable operating cost</t>
        </is>
      </c>
      <c r="B42" s="13" t="inlineStr">
        <is>
          <t>EUR/total km</t>
        </is>
      </c>
      <c r="C42" s="393">
        <f>SUM(C38:C41)</f>
        <v/>
      </c>
      <c r="D42" s="393">
        <f>SUM(D38:D41)</f>
        <v/>
      </c>
      <c r="E42" s="13" t="inlineStr">
        <is>
          <t>Fuel + tyres + maintenance + road fees</t>
        </is>
      </c>
    </row>
    <row r="43">
      <c r="A43" s="13" t="inlineStr">
        <is>
          <t>Variable operating cost</t>
        </is>
      </c>
      <c r="B43" s="13" t="inlineStr">
        <is>
          <t>EUR/loaded km</t>
        </is>
      </c>
      <c r="C43" s="393">
        <f>IFERROR(C42/C8,0)</f>
        <v/>
      </c>
      <c r="D43" s="393">
        <f>IFERROR(D42/D8,0)</f>
        <v/>
      </c>
      <c r="E43" s="13" t="inlineStr">
        <is>
          <t>Variable cost per total km / loaded ratio</t>
        </is>
      </c>
    </row>
    <row r="44">
      <c r="A44" s="13" t="inlineStr">
        <is>
          <t>Annual variable operating cost</t>
        </is>
      </c>
      <c r="B44" s="13" t="inlineStr">
        <is>
          <t>EUR/year</t>
        </is>
      </c>
      <c r="C44" s="389">
        <f>IFERROR(C42*C3,0)</f>
        <v/>
      </c>
      <c r="D44" s="389">
        <f>IFERROR(D42*D3,0)</f>
        <v/>
      </c>
      <c r="E44" s="13" t="inlineStr">
        <is>
          <t>Variable cost per total km × annual total km</t>
        </is>
      </c>
    </row>
    <row r="45">
      <c r="A45" s="13" t="str"/>
      <c r="B45" s="13" t="str"/>
      <c r="C45" s="389" t="str"/>
      <c r="D45" s="389" t="str"/>
      <c r="E45" s="13" t="str"/>
    </row>
    <row r="46">
      <c r="A46" s="14" t="inlineStr">
        <is>
          <t>Driver cost block</t>
        </is>
      </c>
      <c r="B46" s="14" t="str"/>
      <c r="C46" s="392" t="str"/>
      <c r="D46" s="392" t="str"/>
      <c r="E46" s="14" t="str"/>
    </row>
    <row r="47">
      <c r="A47" s="13" t="inlineStr">
        <is>
          <t>Salary incl. employer taxes</t>
        </is>
      </c>
      <c r="B47" s="13" t="inlineStr">
        <is>
          <t>EUR/year</t>
        </is>
      </c>
      <c r="C47" s="389">
        <f>IFERROR(C21*12*C24*(1+C22),0)</f>
        <v/>
      </c>
      <c r="D47" s="389">
        <f>IFERROR(D21*12*D24*(1+D22),0)</f>
        <v/>
      </c>
      <c r="E47" s="13" t="inlineStr">
        <is>
          <t>Monthly salary × 12 × drivers × (1 + tax rate)</t>
        </is>
      </c>
    </row>
    <row r="48">
      <c r="A48" s="13" t="inlineStr">
        <is>
          <t>Travel allowance</t>
        </is>
      </c>
      <c r="B48" s="13" t="inlineStr">
        <is>
          <t>EUR/year</t>
        </is>
      </c>
      <c r="C48" s="389">
        <f>IFERROR(C23*C5*C24,0)</f>
        <v/>
      </c>
      <c r="D48" s="389">
        <f>IFERROR(D23*D5*D24,0)</f>
        <v/>
      </c>
      <c r="E48" s="13" t="inlineStr">
        <is>
          <t>Allowance/day × working days × drivers</t>
        </is>
      </c>
    </row>
    <row r="49">
      <c r="A49" s="13" t="inlineStr">
        <is>
          <t>Total driver cost</t>
        </is>
      </c>
      <c r="B49" s="13" t="inlineStr">
        <is>
          <t>EUR/year</t>
        </is>
      </c>
      <c r="C49" s="389">
        <f>SUM(C47:C48)</f>
        <v/>
      </c>
      <c r="D49" s="389">
        <f>SUM(D47:D48)</f>
        <v/>
      </c>
      <c r="E49" s="13" t="inlineStr">
        <is>
          <t>Salary incl. taxes + allowance</t>
        </is>
      </c>
    </row>
    <row r="50">
      <c r="A50" s="13" t="inlineStr">
        <is>
          <t>Driver cost per activity hour</t>
        </is>
      </c>
      <c r="B50" s="13" t="inlineStr">
        <is>
          <t>EUR/hour</t>
        </is>
      </c>
      <c r="C50" s="393">
        <f>IFERROR(C49/C35,0)</f>
        <v/>
      </c>
      <c r="D50" s="393">
        <f>IFERROR(D49/D35,0)</f>
        <v/>
      </c>
      <c r="E50" s="13" t="inlineStr">
        <is>
          <t>Total driver cost / activity hours</t>
        </is>
      </c>
    </row>
    <row r="51">
      <c r="A51" s="13" t="inlineStr">
        <is>
          <t>Driver cost per loaded km</t>
        </is>
      </c>
      <c r="B51" s="13" t="inlineStr">
        <is>
          <t>EUR/loaded km</t>
        </is>
      </c>
      <c r="C51" s="393">
        <f>IFERROR(C49/C31,0)</f>
        <v/>
      </c>
      <c r="D51" s="393">
        <f>IFERROR(D49/D31,0)</f>
        <v/>
      </c>
      <c r="E51" s="13" t="inlineStr">
        <is>
          <t>Total driver cost / loaded km</t>
        </is>
      </c>
    </row>
    <row r="52">
      <c r="A52" s="13" t="str"/>
      <c r="B52" s="13" t="str"/>
      <c r="C52" s="389" t="str"/>
      <c r="D52" s="389" t="str"/>
      <c r="E52" s="13" t="str"/>
    </row>
    <row r="53">
      <c r="A53" s="14" t="inlineStr">
        <is>
          <t>Fixed cost block</t>
        </is>
      </c>
      <c r="B53" s="14" t="str"/>
      <c r="C53" s="392" t="str"/>
      <c r="D53" s="392" t="str"/>
      <c r="E53" s="14" t="str"/>
    </row>
    <row r="54">
      <c r="A54" s="13" t="inlineStr">
        <is>
          <t>Vehicle fixed cost</t>
        </is>
      </c>
      <c r="B54" s="13" t="inlineStr">
        <is>
          <t>EUR/year</t>
        </is>
      </c>
      <c r="C54" s="389">
        <f>SUM(C16:C20)</f>
        <v/>
      </c>
      <c r="D54" s="389">
        <f>SUM(D16:D20)</f>
        <v/>
      </c>
      <c r="E54" s="13" t="inlineStr">
        <is>
          <t>Tractor + trailer + insurance + taxes</t>
        </is>
      </c>
    </row>
    <row r="55">
      <c r="A55" s="13" t="inlineStr">
        <is>
          <t>Structural/admin fixed cost</t>
        </is>
      </c>
      <c r="B55" s="13" t="inlineStr">
        <is>
          <t>EUR/year</t>
        </is>
      </c>
      <c r="C55" s="389">
        <f>SUM(C25:C26)</f>
        <v/>
      </c>
      <c r="D55" s="389">
        <f>SUM(D25:D26)</f>
        <v/>
      </c>
      <c r="E55" s="13" t="inlineStr">
        <is>
          <t>Structural overhead + commercial/admin overhead</t>
        </is>
      </c>
    </row>
    <row r="56">
      <c r="A56" s="13" t="inlineStr">
        <is>
          <t>Fixed cost before driver</t>
        </is>
      </c>
      <c r="B56" s="13" t="inlineStr">
        <is>
          <t>EUR/year</t>
        </is>
      </c>
      <c r="C56" s="389">
        <f>SUM(C54:C55)</f>
        <v/>
      </c>
      <c r="D56" s="389">
        <f>SUM(D54:D55)</f>
        <v/>
      </c>
      <c r="E56" s="13" t="inlineStr">
        <is>
          <t>Vehicle fixed + structural/admin fixed</t>
        </is>
      </c>
    </row>
    <row r="57">
      <c r="A57" s="13" t="inlineStr">
        <is>
          <t>Fixed cost including driver</t>
        </is>
      </c>
      <c r="B57" s="13" t="inlineStr">
        <is>
          <t>EUR/year</t>
        </is>
      </c>
      <c r="C57" s="389">
        <f>SUM(C49,C56)</f>
        <v/>
      </c>
      <c r="D57" s="389">
        <f>SUM(D49,D56)</f>
        <v/>
      </c>
      <c r="E57" s="13" t="inlineStr">
        <is>
          <t>Fixed before driver + driver cost</t>
        </is>
      </c>
    </row>
    <row r="58">
      <c r="A58" s="13" t="str"/>
      <c r="B58" s="13" t="str"/>
      <c r="C58" s="389" t="str"/>
      <c r="D58" s="389" t="str"/>
      <c r="E58" s="13" t="str"/>
    </row>
    <row r="59">
      <c r="A59" s="14" t="inlineStr">
        <is>
          <t>Break-even outputs</t>
        </is>
      </c>
      <c r="B59" s="14" t="str"/>
      <c r="C59" s="392" t="str"/>
      <c r="D59" s="392" t="str"/>
      <c r="E59" s="14" t="str"/>
    </row>
    <row r="60">
      <c r="A60" s="34" t="inlineStr">
        <is>
          <t>Total annual cost</t>
        </is>
      </c>
      <c r="B60" s="34" t="inlineStr">
        <is>
          <t>EUR/year</t>
        </is>
      </c>
      <c r="C60" s="394">
        <f>SUM(C44,C57)</f>
        <v/>
      </c>
      <c r="D60" s="394">
        <f>SUM(D44,D57)</f>
        <v/>
      </c>
      <c r="E60" s="34" t="inlineStr">
        <is>
          <t>Variable cost + fixed cost including driver</t>
        </is>
      </c>
    </row>
    <row r="61">
      <c r="A61" s="34" t="inlineStr">
        <is>
          <t>Cost per total km</t>
        </is>
      </c>
      <c r="B61" s="34" t="inlineStr">
        <is>
          <t>EUR/total km</t>
        </is>
      </c>
      <c r="C61" s="395">
        <f>IFERROR(C60/C3,0)</f>
        <v/>
      </c>
      <c r="D61" s="395">
        <f>IFERROR(D60/D3,0)</f>
        <v/>
      </c>
      <c r="E61" s="34" t="inlineStr">
        <is>
          <t>Total annual cost / annual total km</t>
        </is>
      </c>
    </row>
    <row r="62">
      <c r="A62" s="34" t="inlineStr">
        <is>
          <t>Break-even price</t>
        </is>
      </c>
      <c r="B62" s="34" t="inlineStr">
        <is>
          <t>EUR/loaded km</t>
        </is>
      </c>
      <c r="C62" s="395">
        <f>IFERROR(C60/C31,0)</f>
        <v/>
      </c>
      <c r="D62" s="395">
        <f>IFERROR(D60/D31,0)</f>
        <v/>
      </c>
      <c r="E62" s="34" t="inlineStr">
        <is>
          <t>Total annual cost / loaded km</t>
        </is>
      </c>
    </row>
    <row r="63">
      <c r="A63" s="34" t="inlineStr">
        <is>
          <t>Required price for target EBIT margin</t>
        </is>
      </c>
      <c r="B63" s="34" t="inlineStr">
        <is>
          <t>EUR/loaded km</t>
        </is>
      </c>
      <c r="C63" s="395">
        <f>IFERROR(C62/(1-C27),0)</f>
        <v/>
      </c>
      <c r="D63" s="395">
        <f>IFERROR(D62/(1-D27),0)</f>
        <v/>
      </c>
      <c r="E63" s="34" t="inlineStr">
        <is>
          <t>Break-even price / (1 - target margin)</t>
        </is>
      </c>
    </row>
    <row r="64">
      <c r="A64" s="34" t="inlineStr">
        <is>
          <t>Annual revenue at selected rate</t>
        </is>
      </c>
      <c r="B64" s="34" t="inlineStr">
        <is>
          <t>EUR/year</t>
        </is>
      </c>
      <c r="C64" s="396">
        <f>IFERROR(C28*C31,0)</f>
        <v/>
      </c>
      <c r="D64" s="396">
        <f>IFERROR(D28*D31,0)</f>
        <v/>
      </c>
      <c r="E64" s="34" t="inlineStr">
        <is>
          <t>Selected customer rate × loaded revenue km</t>
        </is>
      </c>
    </row>
    <row r="65">
      <c r="A65" s="34" t="inlineStr">
        <is>
          <t>EBIT at selected rate</t>
        </is>
      </c>
      <c r="B65" s="34" t="inlineStr">
        <is>
          <t>EUR/year</t>
        </is>
      </c>
      <c r="C65" s="396">
        <f>C64-C60</f>
        <v/>
      </c>
      <c r="D65" s="396">
        <f>D64-D60</f>
        <v/>
      </c>
      <c r="E65" s="34" t="inlineStr">
        <is>
          <t>Revenue - total annual cost</t>
        </is>
      </c>
    </row>
    <row r="66">
      <c r="A66" s="34" t="inlineStr">
        <is>
          <t>EBIT margin at selected rate</t>
        </is>
      </c>
      <c r="B66" s="34" t="inlineStr">
        <is>
          <t>% revenue</t>
        </is>
      </c>
      <c r="C66" s="397">
        <f>IFERROR(C65/C64,0)</f>
        <v/>
      </c>
      <c r="D66" s="397">
        <f>IFERROR(D65/D64,0)</f>
        <v/>
      </c>
      <c r="E66" s="34" t="inlineStr">
        <is>
          <t>EBIT / revenue</t>
        </is>
      </c>
    </row>
    <row r="67">
      <c r="A67" s="34" t="inlineStr">
        <is>
          <t>Break-even loaded km at selected rate</t>
        </is>
      </c>
      <c r="B67" s="34" t="inlineStr">
        <is>
          <t>km/year</t>
        </is>
      </c>
      <c r="C67" s="396">
        <f>IFERROR(IF(C28&lt;=C43,"Rate below variable cost",C57/(C28-C43)),0)</f>
        <v/>
      </c>
      <c r="D67" s="396">
        <f>IFERROR(IF(D28&lt;=D43,"Rate below variable cost",D57/(D28-D43)),0)</f>
        <v/>
      </c>
      <c r="E67" s="34" t="inlineStr">
        <is>
          <t>Fixed cost / (selected rate - variable loaded-km cost)</t>
        </is>
      </c>
    </row>
    <row r="68">
      <c r="A68" s="34" t="inlineStr">
        <is>
          <t>Break-even total km at selected rate</t>
        </is>
      </c>
      <c r="B68" s="34" t="inlineStr">
        <is>
          <t>km/year</t>
        </is>
      </c>
      <c r="C68" s="396">
        <f>IFERROR(IF(ISNUMBER(C67),C67/C8,""),"")</f>
        <v/>
      </c>
      <c r="D68" s="396">
        <f>IFERROR(IF(ISNUMBER(D67),D67/D8,""),"")</f>
        <v/>
      </c>
      <c r="E68" s="34" t="inlineStr">
        <is>
          <t>Break-even loaded km / loaded ratio</t>
        </is>
      </c>
    </row>
    <row r="69">
      <c r="A69" s="34" t="inlineStr">
        <is>
          <t>Break-even utilisation of planned loaded km</t>
        </is>
      </c>
      <c r="B69" s="34" t="inlineStr">
        <is>
          <t>%</t>
        </is>
      </c>
      <c r="C69" s="396">
        <f>IFERROR(IF(ISNUMBER(C67),C67/C31,""),"")</f>
        <v/>
      </c>
      <c r="D69" s="396">
        <f>IFERROR(IF(ISNUMBER(D67),D67/D31,""),"")</f>
        <v/>
      </c>
      <c r="E69" s="34" t="inlineStr">
        <is>
          <t>Break-even loaded km / loaded km</t>
        </is>
      </c>
    </row>
    <row r="70">
      <c r="A70" s="34" t="inlineStr">
        <is>
          <t>Required loaded ratio at planned total km</t>
        </is>
      </c>
      <c r="B70" s="34" t="inlineStr">
        <is>
          <t>%</t>
        </is>
      </c>
      <c r="C70" s="396">
        <f>IFERROR(C60/(C28*C3),0)</f>
        <v/>
      </c>
      <c r="D70" s="396">
        <f>IFERROR(D60/(D28*D3),0)</f>
        <v/>
      </c>
      <c r="E70" s="34" t="inlineStr">
        <is>
          <t>Total cost / (selected rate × total km)</t>
        </is>
      </c>
    </row>
    <row r="71">
      <c r="A71" s="34" t="inlineStr">
        <is>
          <t>Loaded-km safety margin</t>
        </is>
      </c>
      <c r="B71" s="34" t="inlineStr">
        <is>
          <t>km/year</t>
        </is>
      </c>
      <c r="C71" s="396">
        <f>IFERROR(IF(ISNUMBER(C67),C31-C67,""),"")</f>
        <v/>
      </c>
      <c r="D71" s="396">
        <f>IFERROR(IF(ISNUMBER(D67),D31-D67,""),"")</f>
        <v/>
      </c>
      <c r="E71" s="34" t="inlineStr">
        <is>
          <t>Loaded km - break-even loaded km</t>
        </is>
      </c>
    </row>
    <row r="72">
      <c r="A72" s="34" t="inlineStr">
        <is>
          <t>Safety margin</t>
        </is>
      </c>
      <c r="B72" s="34" t="inlineStr">
        <is>
          <t>%</t>
        </is>
      </c>
      <c r="C72" s="397">
        <f>IFERROR(IF(ISNUMBER(C71),C71/C31,""),"")</f>
        <v/>
      </c>
      <c r="D72" s="397">
        <f>IFERROR(IF(ISNUMBER(D71),D71/D31,""),"")</f>
        <v/>
      </c>
      <c r="E72" s="34" t="inlineStr">
        <is>
          <t>Safety margin / loaded km</t>
        </is>
      </c>
    </row>
    <row r="73">
      <c r="A73" s="34" t="inlineStr">
        <is>
          <t>Rate variance vs break-even</t>
        </is>
      </c>
      <c r="B73" s="34" t="inlineStr">
        <is>
          <t>EUR/loaded km</t>
        </is>
      </c>
      <c r="C73" s="395">
        <f>IFERROR(C28-C62,0)</f>
        <v/>
      </c>
      <c r="D73" s="395">
        <f>IFERROR(D28-D62,0)</f>
        <v/>
      </c>
      <c r="E73" s="34" t="inlineStr">
        <is>
          <t>Selected customer rate - break-even price</t>
        </is>
      </c>
    </row>
    <row r="74">
      <c r="A74" s="34" t="inlineStr">
        <is>
          <t>Profit contribution</t>
        </is>
      </c>
      <c r="B74" s="34" t="inlineStr">
        <is>
          <t>EUR/loaded km</t>
        </is>
      </c>
      <c r="C74" s="395">
        <f>IFERROR(C28-C62,0)</f>
        <v/>
      </c>
      <c r="D74" s="395">
        <f>IFERROR(D28-D62,0)</f>
        <v/>
      </c>
      <c r="E74" s="34" t="inlineStr">
        <is>
          <t>Selected customer rate - break-even price</t>
        </is>
      </c>
    </row>
    <row r="75">
      <c r="A75" s="13" t="n"/>
      <c r="B75" s="13" t="n"/>
      <c r="C75" s="13" t="n"/>
      <c r="D75" s="13" t="n"/>
      <c r="E75" s="1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4" customWidth="1" style="60" min="1" max="1"/>
    <col width="14" customWidth="1" style="60" min="2" max="2"/>
    <col width="14" customWidth="1" style="60" min="3" max="3"/>
    <col width="14" customWidth="1" style="60" min="4" max="4"/>
    <col width="14" customWidth="1" style="60" min="5" max="5"/>
    <col width="14" customWidth="1" style="60" min="6" max="6"/>
    <col width="14" customWidth="1" style="60" min="7" max="7"/>
    <col width="14" customWidth="1" style="60" min="8" max="8"/>
    <col width="38" customWidth="1" style="60" min="9" max="9"/>
    <col width="45" customWidth="1" style="60" min="10" max="10"/>
    <col width="34" customWidth="1" style="60" min="11" max="11"/>
  </cols>
  <sheetData>
    <row r="1">
      <c r="A1" s="7" t="inlineStr">
        <is>
          <t>Break-even sensitivity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Selected profile</t>
        </is>
      </c>
      <c r="B2" t="inlineStr">
        <is>
          <t>Long Distance 40t</t>
        </is>
      </c>
      <c r="J2" s="58" t="inlineStr">
        <is>
          <t>Selected column</t>
        </is>
      </c>
      <c r="K2" s="58">
        <f>MATCH($B$2,Engine!$C$1:$D$1,0)</f>
        <v/>
      </c>
    </row>
    <row r="3">
      <c r="J3" s="58" t="inlineStr">
        <is>
          <t>Annual total km</t>
        </is>
      </c>
      <c r="K3" s="58">
        <f>INDEX(Engine!$C$3:$D$3,1,$K$2)</f>
        <v/>
      </c>
    </row>
    <row r="4">
      <c r="A4" s="20" t="inlineStr">
        <is>
          <t>Rate/load factor EBIT matrix</t>
        </is>
      </c>
      <c r="B4" s="20" t="str"/>
      <c r="C4" s="20" t="str"/>
      <c r="D4" s="20" t="str"/>
      <c r="E4" s="20" t="str"/>
      <c r="F4" s="20" t="str"/>
      <c r="G4" s="20" t="str"/>
      <c r="H4" s="20" t="str"/>
      <c r="J4" s="58" t="inlineStr">
        <is>
          <t>Variable €/total km</t>
        </is>
      </c>
      <c r="K4" s="58">
        <f>INDEX(Engine!$C$42:$D$42,1,$K$2)</f>
        <v/>
      </c>
    </row>
    <row r="5">
      <c r="A5" s="20" t="inlineStr">
        <is>
          <t>Load factor \ Rate</t>
        </is>
      </c>
      <c r="B5" s="398" t="n">
        <v>1.2</v>
      </c>
      <c r="C5" s="398" t="n">
        <v>1.4</v>
      </c>
      <c r="D5" s="398" t="n">
        <v>1.6</v>
      </c>
      <c r="E5" s="398" t="n">
        <v>1.8</v>
      </c>
      <c r="F5" s="398" t="n">
        <v>2</v>
      </c>
      <c r="G5" s="398" t="n">
        <v>2.2</v>
      </c>
      <c r="H5" s="398" t="n">
        <v>2.4</v>
      </c>
      <c r="J5" s="58" t="inlineStr">
        <is>
          <t>Fixed incl driver</t>
        </is>
      </c>
      <c r="K5" s="58">
        <f>INDEX(Engine!$C$57:$D$57,1,$K$2)</f>
        <v/>
      </c>
    </row>
    <row r="6">
      <c r="A6" s="399" t="n">
        <v>0.65</v>
      </c>
      <c r="B6" s="400">
        <f>B$5*$K$3*$A6-($K$5+$K$4*$K$3)</f>
        <v/>
      </c>
      <c r="C6" s="400">
        <f>C$5*$K$3*$A6-($K$5+$K$4*$K$3)</f>
        <v/>
      </c>
      <c r="D6" s="400">
        <f>D$5*$K$3*$A6-($K$5+$K$4*$K$3)</f>
        <v/>
      </c>
      <c r="E6" s="400">
        <f>E$5*$K$3*$A6-($K$5+$K$4*$K$3)</f>
        <v/>
      </c>
      <c r="F6" s="400">
        <f>F$5*$K$3*$A6-($K$5+$K$4*$K$3)</f>
        <v/>
      </c>
      <c r="G6" s="400">
        <f>G$5*$K$3*$A6-($K$5+$K$4*$K$3)</f>
        <v/>
      </c>
      <c r="H6" s="400">
        <f>H$5*$K$3*$A6-($K$5+$K$4*$K$3)</f>
        <v/>
      </c>
      <c r="J6" s="58" t="inlineStr">
        <is>
          <t>Loaded ratio</t>
        </is>
      </c>
      <c r="K6" s="58">
        <f>INDEX(Engine!$C$8:$D$8,1,$K$2)</f>
        <v/>
      </c>
    </row>
    <row r="7">
      <c r="A7" s="399" t="n">
        <v>0.7</v>
      </c>
      <c r="B7" s="400">
        <f>B$5*$K$3*$A7-($K$5+$K$4*$K$3)</f>
        <v/>
      </c>
      <c r="C7" s="400">
        <f>C$5*$K$3*$A7-($K$5+$K$4*$K$3)</f>
        <v/>
      </c>
      <c r="D7" s="400">
        <f>D$5*$K$3*$A7-($K$5+$K$4*$K$3)</f>
        <v/>
      </c>
      <c r="E7" s="400">
        <f>E$5*$K$3*$A7-($K$5+$K$4*$K$3)</f>
        <v/>
      </c>
      <c r="F7" s="400">
        <f>F$5*$K$3*$A7-($K$5+$K$4*$K$3)</f>
        <v/>
      </c>
      <c r="G7" s="400">
        <f>G$5*$K$3*$A7-($K$5+$K$4*$K$3)</f>
        <v/>
      </c>
      <c r="H7" s="400">
        <f>H$5*$K$3*$A7-($K$5+$K$4*$K$3)</f>
        <v/>
      </c>
      <c r="J7" s="58" t="inlineStr">
        <is>
          <t>Current BE price</t>
        </is>
      </c>
      <c r="K7" s="58">
        <f>INDEX(Engine!$C$62:$D$62,1,$K$2)</f>
        <v/>
      </c>
    </row>
    <row r="8">
      <c r="A8" s="399" t="n">
        <v>0.75</v>
      </c>
      <c r="B8" s="400">
        <f>B$5*$K$3*$A8-($K$5+$K$4*$K$3)</f>
        <v/>
      </c>
      <c r="C8" s="400">
        <f>C$5*$K$3*$A8-($K$5+$K$4*$K$3)</f>
        <v/>
      </c>
      <c r="D8" s="400">
        <f>D$5*$K$3*$A8-($K$5+$K$4*$K$3)</f>
        <v/>
      </c>
      <c r="E8" s="400">
        <f>E$5*$K$3*$A8-($K$5+$K$4*$K$3)</f>
        <v/>
      </c>
      <c r="F8" s="400">
        <f>F$5*$K$3*$A8-($K$5+$K$4*$K$3)</f>
        <v/>
      </c>
      <c r="G8" s="400">
        <f>G$5*$K$3*$A8-($K$5+$K$4*$K$3)</f>
        <v/>
      </c>
      <c r="H8" s="400">
        <f>H$5*$K$3*$A8-($K$5+$K$4*$K$3)</f>
        <v/>
      </c>
      <c r="J8" s="58" t="inlineStr">
        <is>
          <t>Target margin price</t>
        </is>
      </c>
      <c r="K8" s="58">
        <f>INDEX(Engine!$C$63:$D$63,1,$K$2)</f>
        <v/>
      </c>
    </row>
    <row r="9">
      <c r="A9" s="399" t="n">
        <v>0.8</v>
      </c>
      <c r="B9" s="400">
        <f>B$5*$K$3*$A9-($K$5+$K$4*$K$3)</f>
        <v/>
      </c>
      <c r="C9" s="400">
        <f>C$5*$K$3*$A9-($K$5+$K$4*$K$3)</f>
        <v/>
      </c>
      <c r="D9" s="400">
        <f>D$5*$K$3*$A9-($K$5+$K$4*$K$3)</f>
        <v/>
      </c>
      <c r="E9" s="400">
        <f>E$5*$K$3*$A9-($K$5+$K$4*$K$3)</f>
        <v/>
      </c>
      <c r="F9" s="400">
        <f>F$5*$K$3*$A9-($K$5+$K$4*$K$3)</f>
        <v/>
      </c>
      <c r="G9" s="400">
        <f>G$5*$K$3*$A9-($K$5+$K$4*$K$3)</f>
        <v/>
      </c>
      <c r="H9" s="400">
        <f>H$5*$K$3*$A9-($K$5+$K$4*$K$3)</f>
        <v/>
      </c>
      <c r="J9" s="195" t="inlineStr">
        <is>
          <t>Selected customer rate</t>
        </is>
      </c>
      <c r="K9" s="195">
        <f>INDEX(Engine!$C$28:$D$28,1,$K$2)</f>
        <v/>
      </c>
    </row>
    <row r="10">
      <c r="A10" s="399" t="n">
        <v>0.85</v>
      </c>
      <c r="B10" s="400">
        <f>B$5*$K$3*$A10-($K$5+$K$4*$K$3)</f>
        <v/>
      </c>
      <c r="C10" s="400">
        <f>C$5*$K$3*$A10-($K$5+$K$4*$K$3)</f>
        <v/>
      </c>
      <c r="D10" s="400">
        <f>D$5*$K$3*$A10-($K$5+$K$4*$K$3)</f>
        <v/>
      </c>
      <c r="E10" s="400">
        <f>E$5*$K$3*$A10-($K$5+$K$4*$K$3)</f>
        <v/>
      </c>
      <c r="F10" s="400">
        <f>F$5*$K$3*$A10-($K$5+$K$4*$K$3)</f>
        <v/>
      </c>
      <c r="G10" s="400">
        <f>G$5*$K$3*$A10-($K$5+$K$4*$K$3)</f>
        <v/>
      </c>
      <c r="H10" s="400">
        <f>H$5*$K$3*$A10-($K$5+$K$4*$K$3)</f>
        <v/>
      </c>
      <c r="J10" s="195" t="inlineStr">
        <is>
          <t>EBIT at selected rate</t>
        </is>
      </c>
      <c r="K10" s="195">
        <f>INDEX(Engine!$C$65:$D$65,1,$K$2)</f>
        <v/>
      </c>
    </row>
    <row r="11">
      <c r="A11" s="399" t="n">
        <v>0.9</v>
      </c>
      <c r="B11" s="400">
        <f>B$5*$K$3*$A11-($K$5+$K$4*$K$3)</f>
        <v/>
      </c>
      <c r="C11" s="400">
        <f>C$5*$K$3*$A11-($K$5+$K$4*$K$3)</f>
        <v/>
      </c>
      <c r="D11" s="400">
        <f>D$5*$K$3*$A11-($K$5+$K$4*$K$3)</f>
        <v/>
      </c>
      <c r="E11" s="400">
        <f>E$5*$K$3*$A11-($K$5+$K$4*$K$3)</f>
        <v/>
      </c>
      <c r="F11" s="400">
        <f>F$5*$K$3*$A11-($K$5+$K$4*$K$3)</f>
        <v/>
      </c>
      <c r="G11" s="400">
        <f>G$5*$K$3*$A11-($K$5+$K$4*$K$3)</f>
        <v/>
      </c>
      <c r="H11" s="400">
        <f>H$5*$K$3*$A11-($K$5+$K$4*$K$3)</f>
        <v/>
      </c>
    </row>
    <row r="12">
      <c r="A12" s="399" t="n">
        <v>0.95</v>
      </c>
      <c r="B12" s="400">
        <f>B$5*$K$3*$A12-($K$5+$K$4*$K$3)</f>
        <v/>
      </c>
      <c r="C12" s="400">
        <f>C$5*$K$3*$A12-($K$5+$K$4*$K$3)</f>
        <v/>
      </c>
      <c r="D12" s="400">
        <f>D$5*$K$3*$A12-($K$5+$K$4*$K$3)</f>
        <v/>
      </c>
      <c r="E12" s="400">
        <f>E$5*$K$3*$A12-($K$5+$K$4*$K$3)</f>
        <v/>
      </c>
      <c r="F12" s="400">
        <f>F$5*$K$3*$A12-($K$5+$K$4*$K$3)</f>
        <v/>
      </c>
      <c r="G12" s="400">
        <f>G$5*$K$3*$A12-($K$5+$K$4*$K$3)</f>
        <v/>
      </c>
      <c r="H12" s="400">
        <f>H$5*$K$3*$A12-($K$5+$K$4*$K$3)</f>
        <v/>
      </c>
    </row>
    <row r="14">
      <c r="A14" s="20" t="inlineStr">
        <is>
          <t>Scenario curve at current loaded ratio</t>
        </is>
      </c>
      <c r="B14" s="20" t="str"/>
      <c r="C14" s="20" t="str"/>
    </row>
    <row r="15">
      <c r="A15" s="20" t="inlineStr">
        <is>
          <t>Rate</t>
        </is>
      </c>
      <c r="B15" s="20" t="inlineStr">
        <is>
          <t>Long Distance EBIT</t>
        </is>
      </c>
      <c r="C15" s="20" t="inlineStr">
        <is>
          <t>Regional EBIT</t>
        </is>
      </c>
    </row>
    <row r="16">
      <c r="A16" s="401" t="n">
        <v>1.2</v>
      </c>
      <c r="B16" s="400">
        <f>$A16*Engine!$C$3*Engine!$C$8-(Engine!$C$57+Engine!$C$42*Engine!$C$3)</f>
        <v/>
      </c>
      <c r="C16" s="400">
        <f>$A16*Engine!$D$3*Engine!$D$8-(Engine!$D$57+Engine!$D$42*Engine!$D$3)</f>
        <v/>
      </c>
    </row>
    <row r="17">
      <c r="A17" s="401" t="n">
        <v>1.3</v>
      </c>
      <c r="B17" s="400">
        <f>$A17*Engine!$C$3*Engine!$C$8-(Engine!$C$57+Engine!$C$42*Engine!$C$3)</f>
        <v/>
      </c>
      <c r="C17" s="400">
        <f>$A17*Engine!$D$3*Engine!$D$8-(Engine!$D$57+Engine!$D$42*Engine!$D$3)</f>
        <v/>
      </c>
    </row>
    <row r="18">
      <c r="A18" s="401" t="n">
        <v>1.4</v>
      </c>
      <c r="B18" s="400">
        <f>$A18*Engine!$C$3*Engine!$C$8-(Engine!$C$57+Engine!$C$42*Engine!$C$3)</f>
        <v/>
      </c>
      <c r="C18" s="400">
        <f>$A18*Engine!$D$3*Engine!$D$8-(Engine!$D$57+Engine!$D$42*Engine!$D$3)</f>
        <v/>
      </c>
    </row>
    <row r="19">
      <c r="A19" s="401" t="n">
        <v>1.5</v>
      </c>
      <c r="B19" s="400">
        <f>$A19*Engine!$C$3*Engine!$C$8-(Engine!$C$57+Engine!$C$42*Engine!$C$3)</f>
        <v/>
      </c>
      <c r="C19" s="400">
        <f>$A19*Engine!$D$3*Engine!$D$8-(Engine!$D$57+Engine!$D$42*Engine!$D$3)</f>
        <v/>
      </c>
    </row>
    <row r="20">
      <c r="A20" s="401" t="n">
        <v>1.6</v>
      </c>
      <c r="B20" s="400">
        <f>$A20*Engine!$C$3*Engine!$C$8-(Engine!$C$57+Engine!$C$42*Engine!$C$3)</f>
        <v/>
      </c>
      <c r="C20" s="400">
        <f>$A20*Engine!$D$3*Engine!$D$8-(Engine!$D$57+Engine!$D$42*Engine!$D$3)</f>
        <v/>
      </c>
    </row>
    <row r="21">
      <c r="A21" s="401" t="n">
        <v>1.7</v>
      </c>
      <c r="B21" s="400">
        <f>$A21*Engine!$C$3*Engine!$C$8-(Engine!$C$57+Engine!$C$42*Engine!$C$3)</f>
        <v/>
      </c>
      <c r="C21" s="400">
        <f>$A21*Engine!$D$3*Engine!$D$8-(Engine!$D$57+Engine!$D$42*Engine!$D$3)</f>
        <v/>
      </c>
    </row>
    <row r="22">
      <c r="A22" s="401" t="n">
        <v>1.8</v>
      </c>
      <c r="B22" s="400">
        <f>$A22*Engine!$C$3*Engine!$C$8-(Engine!$C$57+Engine!$C$42*Engine!$C$3)</f>
        <v/>
      </c>
      <c r="C22" s="400">
        <f>$A22*Engine!$D$3*Engine!$D$8-(Engine!$D$57+Engine!$D$42*Engine!$D$3)</f>
        <v/>
      </c>
    </row>
    <row r="23">
      <c r="A23" s="401" t="n">
        <v>1.9</v>
      </c>
      <c r="B23" s="400">
        <f>$A23*Engine!$C$3*Engine!$C$8-(Engine!$C$57+Engine!$C$42*Engine!$C$3)</f>
        <v/>
      </c>
      <c r="C23" s="400">
        <f>$A23*Engine!$D$3*Engine!$D$8-(Engine!$D$57+Engine!$D$42*Engine!$D$3)</f>
        <v/>
      </c>
    </row>
    <row r="24">
      <c r="A24" s="401" t="n">
        <v>2</v>
      </c>
      <c r="B24" s="400">
        <f>$A24*Engine!$C$3*Engine!$C$8-(Engine!$C$57+Engine!$C$42*Engine!$C$3)</f>
        <v/>
      </c>
      <c r="C24" s="400">
        <f>$A24*Engine!$D$3*Engine!$D$8-(Engine!$D$57+Engine!$D$42*Engine!$D$3)</f>
        <v/>
      </c>
    </row>
    <row r="25">
      <c r="A25" s="401" t="n">
        <v>2.1</v>
      </c>
      <c r="B25" s="400">
        <f>$A25*Engine!$C$3*Engine!$C$8-(Engine!$C$57+Engine!$C$42*Engine!$C$3)</f>
        <v/>
      </c>
      <c r="C25" s="400">
        <f>$A25*Engine!$D$3*Engine!$D$8-(Engine!$D$57+Engine!$D$42*Engine!$D$3)</f>
        <v/>
      </c>
    </row>
    <row r="26">
      <c r="A26" s="401" t="n">
        <v>2.2</v>
      </c>
      <c r="B26" s="400">
        <f>$A26*Engine!$C$3*Engine!$C$8-(Engine!$C$57+Engine!$C$42*Engine!$C$3)</f>
        <v/>
      </c>
      <c r="C26" s="400">
        <f>$A26*Engine!$D$3*Engine!$D$8-(Engine!$D$57+Engine!$D$42*Engine!$D$3)</f>
        <v/>
      </c>
    </row>
    <row r="27">
      <c r="A27" s="401" t="n">
        <v>2.3</v>
      </c>
      <c r="B27" s="400">
        <f>$A27*Engine!$C$3*Engine!$C$8-(Engine!$C$57+Engine!$C$42*Engine!$C$3)</f>
        <v/>
      </c>
      <c r="C27" s="400">
        <f>$A27*Engine!$D$3*Engine!$D$8-(Engine!$D$57+Engine!$D$42*Engine!$D$3)</f>
        <v/>
      </c>
    </row>
    <row r="28">
      <c r="A28" s="401" t="n">
        <v>2.4</v>
      </c>
      <c r="B28" s="400">
        <f>$A28*Engine!$C$3*Engine!$C$8-(Engine!$C$57+Engine!$C$42*Engine!$C$3)</f>
        <v/>
      </c>
      <c r="C28" s="400">
        <f>$A28*Engine!$D$3*Engine!$D$8-(Engine!$D$57+Engine!$D$42*Engine!$D$3)</f>
        <v/>
      </c>
    </row>
    <row r="31">
      <c r="A31" s="402" t="inlineStr">
        <is>
          <t>Load capability sensitivity by vehicle type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36" customHeight="1" s="60">
      <c r="A32" s="403" t="inlineStr">
        <is>
          <t>This section compares break-even by vehicle capability, from vans to high-capacity trucks. Use EUR/tonne-km when payload is the commercial constraint; use EUR/loaded-km when the truck is sold as a full-truck movement.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72" t="inlineStr">
        <is>
          <t>Vehicle class</t>
        </is>
      </c>
      <c r="B33" s="72" t="inlineStr">
        <is>
          <t>Payload capacity (t)</t>
        </is>
      </c>
      <c r="C33" s="72" t="inlineStr">
        <is>
          <t>Effective payload (t)</t>
        </is>
      </c>
      <c r="D33" s="72" t="inlineStr">
        <is>
          <t>Loaded km/year</t>
        </is>
      </c>
      <c r="E33" s="72" t="inlineStr">
        <is>
          <t>Annual tonne-km</t>
        </is>
      </c>
      <c r="F33" s="72" t="inlineStr">
        <is>
          <t>Total annual cost (EUR)</t>
        </is>
      </c>
      <c r="G33" s="72" t="inlineStr">
        <is>
          <t>Break-even EUR/loaded km</t>
        </is>
      </c>
      <c r="H33" s="72" t="inlineStr">
        <is>
          <t>Break-even EUR/tonne-km</t>
        </is>
      </c>
      <c r="I33" s="72" t="inlineStr">
        <is>
          <t>Availability / validation note</t>
        </is>
      </c>
      <c r="J33" s="72" t="inlineStr">
        <is>
          <t>Source URL</t>
        </is>
      </c>
      <c r="K33" s="72" t="inlineStr">
        <is>
          <t>Data type</t>
        </is>
      </c>
    </row>
    <row r="34">
      <c r="A34" s="91">
        <f>'Vehicle Classes'!A5</f>
        <v/>
      </c>
      <c r="B34" s="404">
        <f>'Vehicle Classes'!D5</f>
        <v/>
      </c>
      <c r="C34" s="404">
        <f>'Vehicle Classes'!F5</f>
        <v/>
      </c>
      <c r="D34" s="405">
        <f>'Vehicle Classes'!I5</f>
        <v/>
      </c>
      <c r="E34" s="405">
        <f>D34*C34</f>
        <v/>
      </c>
      <c r="F34" s="406">
        <f>'Vehicle Classes'!R5</f>
        <v/>
      </c>
      <c r="G34" s="407">
        <f>'Vehicle Classes'!S5</f>
        <v/>
      </c>
      <c r="H34" s="408">
        <f>'Vehicle Classes'!T5</f>
        <v/>
      </c>
      <c r="I34" s="92">
        <f>'Vehicle Classes'!U5</f>
        <v/>
      </c>
      <c r="J34" s="92">
        <f>'Vehicle Classes'!V5</f>
        <v/>
      </c>
      <c r="K34" s="93">
        <f>'Vehicle Classes'!W5</f>
        <v/>
      </c>
    </row>
    <row r="35">
      <c r="A35" s="94">
        <f>'Vehicle Classes'!A6</f>
        <v/>
      </c>
      <c r="B35" s="409">
        <f>'Vehicle Classes'!D6</f>
        <v/>
      </c>
      <c r="C35" s="409">
        <f>'Vehicle Classes'!F6</f>
        <v/>
      </c>
      <c r="D35" s="410">
        <f>'Vehicle Classes'!I6</f>
        <v/>
      </c>
      <c r="E35" s="410">
        <f>D35*C35</f>
        <v/>
      </c>
      <c r="F35" s="411">
        <f>'Vehicle Classes'!R6</f>
        <v/>
      </c>
      <c r="G35" s="412">
        <f>'Vehicle Classes'!S6</f>
        <v/>
      </c>
      <c r="H35" s="413">
        <f>'Vehicle Classes'!T6</f>
        <v/>
      </c>
      <c r="I35" s="95">
        <f>'Vehicle Classes'!U6</f>
        <v/>
      </c>
      <c r="J35" s="95">
        <f>'Vehicle Classes'!V6</f>
        <v/>
      </c>
      <c r="K35" s="96">
        <f>'Vehicle Classes'!W6</f>
        <v/>
      </c>
    </row>
    <row r="36">
      <c r="A36" s="94">
        <f>'Vehicle Classes'!A7</f>
        <v/>
      </c>
      <c r="B36" s="409">
        <f>'Vehicle Classes'!D7</f>
        <v/>
      </c>
      <c r="C36" s="409">
        <f>'Vehicle Classes'!F7</f>
        <v/>
      </c>
      <c r="D36" s="410">
        <f>'Vehicle Classes'!I7</f>
        <v/>
      </c>
      <c r="E36" s="410">
        <f>D36*C36</f>
        <v/>
      </c>
      <c r="F36" s="411">
        <f>'Vehicle Classes'!R7</f>
        <v/>
      </c>
      <c r="G36" s="412">
        <f>'Vehicle Classes'!S7</f>
        <v/>
      </c>
      <c r="H36" s="413">
        <f>'Vehicle Classes'!T7</f>
        <v/>
      </c>
      <c r="I36" s="95">
        <f>'Vehicle Classes'!U7</f>
        <v/>
      </c>
      <c r="J36" s="95">
        <f>'Vehicle Classes'!V7</f>
        <v/>
      </c>
      <c r="K36" s="96">
        <f>'Vehicle Classes'!W7</f>
        <v/>
      </c>
    </row>
    <row r="37">
      <c r="A37" s="94">
        <f>'Vehicle Classes'!A8</f>
        <v/>
      </c>
      <c r="B37" s="409">
        <f>'Vehicle Classes'!D8</f>
        <v/>
      </c>
      <c r="C37" s="409">
        <f>'Vehicle Classes'!F8</f>
        <v/>
      </c>
      <c r="D37" s="410">
        <f>'Vehicle Classes'!I8</f>
        <v/>
      </c>
      <c r="E37" s="410">
        <f>D37*C37</f>
        <v/>
      </c>
      <c r="F37" s="411">
        <f>'Vehicle Classes'!R8</f>
        <v/>
      </c>
      <c r="G37" s="412">
        <f>'Vehicle Classes'!S8</f>
        <v/>
      </c>
      <c r="H37" s="413">
        <f>'Vehicle Classes'!T8</f>
        <v/>
      </c>
      <c r="I37" s="95">
        <f>'Vehicle Classes'!U8</f>
        <v/>
      </c>
      <c r="J37" s="95">
        <f>'Vehicle Classes'!V8</f>
        <v/>
      </c>
      <c r="K37" s="96">
        <f>'Vehicle Classes'!W8</f>
        <v/>
      </c>
    </row>
    <row r="38">
      <c r="A38" s="94">
        <f>'Vehicle Classes'!A9</f>
        <v/>
      </c>
      <c r="B38" s="409">
        <f>'Vehicle Classes'!D9</f>
        <v/>
      </c>
      <c r="C38" s="409">
        <f>'Vehicle Classes'!F9</f>
        <v/>
      </c>
      <c r="D38" s="410">
        <f>'Vehicle Classes'!I9</f>
        <v/>
      </c>
      <c r="E38" s="410">
        <f>D38*C38</f>
        <v/>
      </c>
      <c r="F38" s="411">
        <f>'Vehicle Classes'!R9</f>
        <v/>
      </c>
      <c r="G38" s="412">
        <f>'Vehicle Classes'!S9</f>
        <v/>
      </c>
      <c r="H38" s="413">
        <f>'Vehicle Classes'!T9</f>
        <v/>
      </c>
      <c r="I38" s="95">
        <f>'Vehicle Classes'!U9</f>
        <v/>
      </c>
      <c r="J38" s="95">
        <f>'Vehicle Classes'!V9</f>
        <v/>
      </c>
      <c r="K38" s="96">
        <f>'Vehicle Classes'!W9</f>
        <v/>
      </c>
    </row>
    <row r="39">
      <c r="A39" s="94">
        <f>'Vehicle Classes'!A10</f>
        <v/>
      </c>
      <c r="B39" s="409">
        <f>'Vehicle Classes'!D10</f>
        <v/>
      </c>
      <c r="C39" s="409">
        <f>'Vehicle Classes'!F10</f>
        <v/>
      </c>
      <c r="D39" s="410">
        <f>'Vehicle Classes'!I10</f>
        <v/>
      </c>
      <c r="E39" s="410">
        <f>D39*C39</f>
        <v/>
      </c>
      <c r="F39" s="411">
        <f>'Vehicle Classes'!R10</f>
        <v/>
      </c>
      <c r="G39" s="412">
        <f>'Vehicle Classes'!S10</f>
        <v/>
      </c>
      <c r="H39" s="413">
        <f>'Vehicle Classes'!T10</f>
        <v/>
      </c>
      <c r="I39" s="95">
        <f>'Vehicle Classes'!U10</f>
        <v/>
      </c>
      <c r="J39" s="95">
        <f>'Vehicle Classes'!V10</f>
        <v/>
      </c>
      <c r="K39" s="96">
        <f>'Vehicle Classes'!W10</f>
        <v/>
      </c>
    </row>
    <row r="40">
      <c r="A40" s="94">
        <f>'Vehicle Classes'!A11</f>
        <v/>
      </c>
      <c r="B40" s="409">
        <f>'Vehicle Classes'!D11</f>
        <v/>
      </c>
      <c r="C40" s="409">
        <f>'Vehicle Classes'!F11</f>
        <v/>
      </c>
      <c r="D40" s="410">
        <f>'Vehicle Classes'!I11</f>
        <v/>
      </c>
      <c r="E40" s="410">
        <f>D40*C40</f>
        <v/>
      </c>
      <c r="F40" s="411">
        <f>'Vehicle Classes'!R11</f>
        <v/>
      </c>
      <c r="G40" s="412">
        <f>'Vehicle Classes'!S11</f>
        <v/>
      </c>
      <c r="H40" s="413">
        <f>'Vehicle Classes'!T11</f>
        <v/>
      </c>
      <c r="I40" s="95">
        <f>'Vehicle Classes'!U11</f>
        <v/>
      </c>
      <c r="J40" s="95">
        <f>'Vehicle Classes'!V11</f>
        <v/>
      </c>
      <c r="K40" s="96">
        <f>'Vehicle Classes'!W11</f>
        <v/>
      </c>
    </row>
    <row r="41">
      <c r="A41" s="94">
        <f>'Vehicle Classes'!A12</f>
        <v/>
      </c>
      <c r="B41" s="409">
        <f>'Vehicle Classes'!D12</f>
        <v/>
      </c>
      <c r="C41" s="409">
        <f>'Vehicle Classes'!F12</f>
        <v/>
      </c>
      <c r="D41" s="410">
        <f>'Vehicle Classes'!I12</f>
        <v/>
      </c>
      <c r="E41" s="410">
        <f>D41*C41</f>
        <v/>
      </c>
      <c r="F41" s="411">
        <f>'Vehicle Classes'!R12</f>
        <v/>
      </c>
      <c r="G41" s="412">
        <f>'Vehicle Classes'!S12</f>
        <v/>
      </c>
      <c r="H41" s="413">
        <f>'Vehicle Classes'!T12</f>
        <v/>
      </c>
      <c r="I41" s="95">
        <f>'Vehicle Classes'!U12</f>
        <v/>
      </c>
      <c r="J41" s="95">
        <f>'Vehicle Classes'!V12</f>
        <v/>
      </c>
      <c r="K41" s="96">
        <f>'Vehicle Classes'!W12</f>
        <v/>
      </c>
    </row>
    <row r="42">
      <c r="A42" s="97">
        <f>'Vehicle Classes'!A13</f>
        <v/>
      </c>
      <c r="B42" s="414">
        <f>'Vehicle Classes'!D13</f>
        <v/>
      </c>
      <c r="C42" s="414">
        <f>'Vehicle Classes'!F13</f>
        <v/>
      </c>
      <c r="D42" s="415">
        <f>'Vehicle Classes'!I13</f>
        <v/>
      </c>
      <c r="E42" s="415">
        <f>D42*C42</f>
        <v/>
      </c>
      <c r="F42" s="416">
        <f>'Vehicle Classes'!R13</f>
        <v/>
      </c>
      <c r="G42" s="417">
        <f>'Vehicle Classes'!S13</f>
        <v/>
      </c>
      <c r="H42" s="418">
        <f>'Vehicle Classes'!T13</f>
        <v/>
      </c>
      <c r="I42" s="98">
        <f>'Vehicle Classes'!U13</f>
        <v/>
      </c>
      <c r="J42" s="98">
        <f>'Vehicle Classes'!V13</f>
        <v/>
      </c>
      <c r="K42" s="99">
        <f>'Vehicle Classes'!W13</f>
        <v/>
      </c>
    </row>
    <row r="45">
      <c r="A45" s="381" t="inlineStr">
        <is>
          <t>Payload utilisation matrix - break-even EUR per tonne-km</t>
        </is>
      </c>
      <c r="B45" s="1" t="n"/>
      <c r="C45" s="1" t="n"/>
      <c r="D45" s="1" t="n"/>
      <c r="E45" s="1" t="n"/>
      <c r="F45" s="1" t="n"/>
      <c r="G45" s="1" t="n"/>
      <c r="I45" s="381" t="inlineStr">
        <is>
          <t>How to read</t>
        </is>
      </c>
      <c r="J45" s="1" t="n"/>
      <c r="K45" s="1" t="n"/>
    </row>
    <row r="46" ht="30" customHeight="1" s="60">
      <c r="A46" s="403" t="inlineStr">
        <is>
          <t>The same truck becomes materially more expensive per tonne-km when it runs below payload potential. This matrix isolates that effect while holding loaded km and annual cost constant by vehicle type.</t>
        </is>
      </c>
      <c r="B46" s="1" t="n"/>
      <c r="C46" s="1" t="n"/>
      <c r="D46" s="1" t="n"/>
      <c r="E46" s="1" t="n"/>
      <c r="F46" s="1" t="n"/>
      <c r="G46" s="1" t="n"/>
      <c r="I46" s="82" t="inlineStr">
        <is>
          <t>Full-truck pricing</t>
        </is>
      </c>
      <c r="J46" s="83" t="inlineStr">
        <is>
          <t>Use EUR/loaded km</t>
        </is>
      </c>
      <c r="K46" s="84" t="inlineStr">
        <is>
          <t>Best for dedicated FTL movement.</t>
        </is>
      </c>
    </row>
    <row r="47" ht="30" customHeight="1" s="60">
      <c r="I47" s="85" t="inlineStr">
        <is>
          <t>Commodity density pricing</t>
        </is>
      </c>
      <c r="J47" s="86" t="inlineStr">
        <is>
          <t>Use EUR/tonne-km</t>
        </is>
      </c>
      <c r="K47" s="87" t="inlineStr">
        <is>
          <t>Best when payload tonnes are the constraint.</t>
        </is>
      </c>
    </row>
    <row r="48" ht="30" customHeight="1" s="60">
      <c r="A48" s="144" t="inlineStr">
        <is>
          <t>Vehicle class</t>
        </is>
      </c>
      <c r="B48" s="419" t="n">
        <v>0.5</v>
      </c>
      <c r="C48" s="419" t="n">
        <v>0.65</v>
      </c>
      <c r="D48" s="419" t="n">
        <v>0.8</v>
      </c>
      <c r="E48" s="419" t="n">
        <v>0.9</v>
      </c>
      <c r="F48" s="419" t="n">
        <v>1</v>
      </c>
      <c r="G48" s="144" t="inlineStr">
        <is>
          <t>Base payload util.</t>
        </is>
      </c>
      <c r="I48" s="85" t="inlineStr">
        <is>
          <t>Underloaded risk</t>
        </is>
      </c>
      <c r="J48" s="86" t="inlineStr">
        <is>
          <t>Compare 50%-80% columns</t>
        </is>
      </c>
      <c r="K48" s="87" t="inlineStr">
        <is>
          <t>Shows break-even damage from low utilisation.</t>
        </is>
      </c>
    </row>
    <row r="49" ht="30" customHeight="1" s="60">
      <c r="A49" s="73">
        <f>'Vehicle Classes'!A5</f>
        <v/>
      </c>
      <c r="B49" s="420">
        <f>IFERROR('Vehicle Classes'!$R5/('Vehicle Classes'!$I5*('Vehicle Classes'!$D5*B$48)),"")</f>
        <v/>
      </c>
      <c r="C49" s="420">
        <f>IFERROR('Vehicle Classes'!$R5/('Vehicle Classes'!$I5*('Vehicle Classes'!$D5*C$48)),"")</f>
        <v/>
      </c>
      <c r="D49" s="420">
        <f>IFERROR('Vehicle Classes'!$R5/('Vehicle Classes'!$I5*('Vehicle Classes'!$D5*D$48)),"")</f>
        <v/>
      </c>
      <c r="E49" s="420">
        <f>IFERROR('Vehicle Classes'!$R5/('Vehicle Classes'!$I5*('Vehicle Classes'!$D5*E$48)),"")</f>
        <v/>
      </c>
      <c r="F49" s="420">
        <f>IFERROR('Vehicle Classes'!$R5/('Vehicle Classes'!$I5*('Vehicle Classes'!$D5*F$48)),"")</f>
        <v/>
      </c>
      <c r="G49" s="421">
        <f>'Vehicle Classes'!E5</f>
        <v/>
      </c>
      <c r="I49" s="88" t="inlineStr">
        <is>
          <t>High-capacity trucks</t>
        </is>
      </c>
      <c r="J49" s="89" t="inlineStr">
        <is>
          <t>Check availability note</t>
        </is>
      </c>
      <c r="K49" s="90" t="inlineStr">
        <is>
          <t>EMS/60t is not universally allowed.</t>
        </is>
      </c>
    </row>
    <row r="50">
      <c r="A50" s="76">
        <f>'Vehicle Classes'!A6</f>
        <v/>
      </c>
      <c r="B50" s="422">
        <f>IFERROR('Vehicle Classes'!$R6/('Vehicle Classes'!$I6*('Vehicle Classes'!$D6*B$48)),"")</f>
        <v/>
      </c>
      <c r="C50" s="422">
        <f>IFERROR('Vehicle Classes'!$R6/('Vehicle Classes'!$I6*('Vehicle Classes'!$D6*C$48)),"")</f>
        <v/>
      </c>
      <c r="D50" s="422">
        <f>IFERROR('Vehicle Classes'!$R6/('Vehicle Classes'!$I6*('Vehicle Classes'!$D6*D$48)),"")</f>
        <v/>
      </c>
      <c r="E50" s="422">
        <f>IFERROR('Vehicle Classes'!$R6/('Vehicle Classes'!$I6*('Vehicle Classes'!$D6*E$48)),"")</f>
        <v/>
      </c>
      <c r="F50" s="422">
        <f>IFERROR('Vehicle Classes'!$R6/('Vehicle Classes'!$I6*('Vehicle Classes'!$D6*F$48)),"")</f>
        <v/>
      </c>
      <c r="G50" s="423">
        <f>'Vehicle Classes'!E6</f>
        <v/>
      </c>
    </row>
    <row r="51">
      <c r="A51" s="76">
        <f>'Vehicle Classes'!A7</f>
        <v/>
      </c>
      <c r="B51" s="422">
        <f>IFERROR('Vehicle Classes'!$R7/('Vehicle Classes'!$I7*('Vehicle Classes'!$D7*B$48)),"")</f>
        <v/>
      </c>
      <c r="C51" s="422">
        <f>IFERROR('Vehicle Classes'!$R7/('Vehicle Classes'!$I7*('Vehicle Classes'!$D7*C$48)),"")</f>
        <v/>
      </c>
      <c r="D51" s="422">
        <f>IFERROR('Vehicle Classes'!$R7/('Vehicle Classes'!$I7*('Vehicle Classes'!$D7*D$48)),"")</f>
        <v/>
      </c>
      <c r="E51" s="422">
        <f>IFERROR('Vehicle Classes'!$R7/('Vehicle Classes'!$I7*('Vehicle Classes'!$D7*E$48)),"")</f>
        <v/>
      </c>
      <c r="F51" s="422">
        <f>IFERROR('Vehicle Classes'!$R7/('Vehicle Classes'!$I7*('Vehicle Classes'!$D7*F$48)),"")</f>
        <v/>
      </c>
      <c r="G51" s="423">
        <f>'Vehicle Classes'!E7</f>
        <v/>
      </c>
    </row>
    <row r="52">
      <c r="A52" s="76">
        <f>'Vehicle Classes'!A8</f>
        <v/>
      </c>
      <c r="B52" s="422">
        <f>IFERROR('Vehicle Classes'!$R8/('Vehicle Classes'!$I8*('Vehicle Classes'!$D8*B$48)),"")</f>
        <v/>
      </c>
      <c r="C52" s="422">
        <f>IFERROR('Vehicle Classes'!$R8/('Vehicle Classes'!$I8*('Vehicle Classes'!$D8*C$48)),"")</f>
        <v/>
      </c>
      <c r="D52" s="422">
        <f>IFERROR('Vehicle Classes'!$R8/('Vehicle Classes'!$I8*('Vehicle Classes'!$D8*D$48)),"")</f>
        <v/>
      </c>
      <c r="E52" s="422">
        <f>IFERROR('Vehicle Classes'!$R8/('Vehicle Classes'!$I8*('Vehicle Classes'!$D8*E$48)),"")</f>
        <v/>
      </c>
      <c r="F52" s="422">
        <f>IFERROR('Vehicle Classes'!$R8/('Vehicle Classes'!$I8*('Vehicle Classes'!$D8*F$48)),"")</f>
        <v/>
      </c>
      <c r="G52" s="423">
        <f>'Vehicle Classes'!E8</f>
        <v/>
      </c>
    </row>
    <row r="53">
      <c r="A53" s="76">
        <f>'Vehicle Classes'!A9</f>
        <v/>
      </c>
      <c r="B53" s="422">
        <f>IFERROR('Vehicle Classes'!$R9/('Vehicle Classes'!$I9*('Vehicle Classes'!$D9*B$48)),"")</f>
        <v/>
      </c>
      <c r="C53" s="422">
        <f>IFERROR('Vehicle Classes'!$R9/('Vehicle Classes'!$I9*('Vehicle Classes'!$D9*C$48)),"")</f>
        <v/>
      </c>
      <c r="D53" s="422">
        <f>IFERROR('Vehicle Classes'!$R9/('Vehicle Classes'!$I9*('Vehicle Classes'!$D9*D$48)),"")</f>
        <v/>
      </c>
      <c r="E53" s="422">
        <f>IFERROR('Vehicle Classes'!$R9/('Vehicle Classes'!$I9*('Vehicle Classes'!$D9*E$48)),"")</f>
        <v/>
      </c>
      <c r="F53" s="422">
        <f>IFERROR('Vehicle Classes'!$R9/('Vehicle Classes'!$I9*('Vehicle Classes'!$D9*F$48)),"")</f>
        <v/>
      </c>
      <c r="G53" s="423">
        <f>'Vehicle Classes'!E9</f>
        <v/>
      </c>
    </row>
    <row r="54">
      <c r="A54" s="76">
        <f>'Vehicle Classes'!A10</f>
        <v/>
      </c>
      <c r="B54" s="422">
        <f>IFERROR('Vehicle Classes'!$R10/('Vehicle Classes'!$I10*('Vehicle Classes'!$D10*B$48)),"")</f>
        <v/>
      </c>
      <c r="C54" s="422">
        <f>IFERROR('Vehicle Classes'!$R10/('Vehicle Classes'!$I10*('Vehicle Classes'!$D10*C$48)),"")</f>
        <v/>
      </c>
      <c r="D54" s="422">
        <f>IFERROR('Vehicle Classes'!$R10/('Vehicle Classes'!$I10*('Vehicle Classes'!$D10*D$48)),"")</f>
        <v/>
      </c>
      <c r="E54" s="422">
        <f>IFERROR('Vehicle Classes'!$R10/('Vehicle Classes'!$I10*('Vehicle Classes'!$D10*E$48)),"")</f>
        <v/>
      </c>
      <c r="F54" s="422">
        <f>IFERROR('Vehicle Classes'!$R10/('Vehicle Classes'!$I10*('Vehicle Classes'!$D10*F$48)),"")</f>
        <v/>
      </c>
      <c r="G54" s="423">
        <f>'Vehicle Classes'!E10</f>
        <v/>
      </c>
    </row>
    <row r="55">
      <c r="A55" s="76">
        <f>'Vehicle Classes'!A11</f>
        <v/>
      </c>
      <c r="B55" s="422">
        <f>IFERROR('Vehicle Classes'!$R11/('Vehicle Classes'!$I11*('Vehicle Classes'!$D11*B$48)),"")</f>
        <v/>
      </c>
      <c r="C55" s="422">
        <f>IFERROR('Vehicle Classes'!$R11/('Vehicle Classes'!$I11*('Vehicle Classes'!$D11*C$48)),"")</f>
        <v/>
      </c>
      <c r="D55" s="422">
        <f>IFERROR('Vehicle Classes'!$R11/('Vehicle Classes'!$I11*('Vehicle Classes'!$D11*D$48)),"")</f>
        <v/>
      </c>
      <c r="E55" s="422">
        <f>IFERROR('Vehicle Classes'!$R11/('Vehicle Classes'!$I11*('Vehicle Classes'!$D11*E$48)),"")</f>
        <v/>
      </c>
      <c r="F55" s="422">
        <f>IFERROR('Vehicle Classes'!$R11/('Vehicle Classes'!$I11*('Vehicle Classes'!$D11*F$48)),"")</f>
        <v/>
      </c>
      <c r="G55" s="423">
        <f>'Vehicle Classes'!E11</f>
        <v/>
      </c>
    </row>
    <row r="56">
      <c r="A56" s="76">
        <f>'Vehicle Classes'!A12</f>
        <v/>
      </c>
      <c r="B56" s="422">
        <f>IFERROR('Vehicle Classes'!$R12/('Vehicle Classes'!$I12*('Vehicle Classes'!$D12*B$48)),"")</f>
        <v/>
      </c>
      <c r="C56" s="422">
        <f>IFERROR('Vehicle Classes'!$R12/('Vehicle Classes'!$I12*('Vehicle Classes'!$D12*C$48)),"")</f>
        <v/>
      </c>
      <c r="D56" s="422">
        <f>IFERROR('Vehicle Classes'!$R12/('Vehicle Classes'!$I12*('Vehicle Classes'!$D12*D$48)),"")</f>
        <v/>
      </c>
      <c r="E56" s="422">
        <f>IFERROR('Vehicle Classes'!$R12/('Vehicle Classes'!$I12*('Vehicle Classes'!$D12*E$48)),"")</f>
        <v/>
      </c>
      <c r="F56" s="422">
        <f>IFERROR('Vehicle Classes'!$R12/('Vehicle Classes'!$I12*('Vehicle Classes'!$D12*F$48)),"")</f>
        <v/>
      </c>
      <c r="G56" s="423">
        <f>'Vehicle Classes'!E12</f>
        <v/>
      </c>
    </row>
    <row r="57">
      <c r="A57" s="79">
        <f>'Vehicle Classes'!A13</f>
        <v/>
      </c>
      <c r="B57" s="424">
        <f>IFERROR('Vehicle Classes'!$R13/('Vehicle Classes'!$I13*('Vehicle Classes'!$D13*B$48)),"")</f>
        <v/>
      </c>
      <c r="C57" s="424">
        <f>IFERROR('Vehicle Classes'!$R13/('Vehicle Classes'!$I13*('Vehicle Classes'!$D13*C$48)),"")</f>
        <v/>
      </c>
      <c r="D57" s="424">
        <f>IFERROR('Vehicle Classes'!$R13/('Vehicle Classes'!$I13*('Vehicle Classes'!$D13*D$48)),"")</f>
        <v/>
      </c>
      <c r="E57" s="424">
        <f>IFERROR('Vehicle Classes'!$R13/('Vehicle Classes'!$I13*('Vehicle Classes'!$D13*E$48)),"")</f>
        <v/>
      </c>
      <c r="F57" s="424">
        <f>IFERROR('Vehicle Classes'!$R13/('Vehicle Classes'!$I13*('Vehicle Classes'!$D13*F$48)),"")</f>
        <v/>
      </c>
      <c r="G57" s="425">
        <f>'Vehicle Classes'!E13</f>
        <v/>
      </c>
    </row>
  </sheetData>
  <mergeCells count="6">
    <mergeCell ref="I45:K45"/>
    <mergeCell ref="A32:K32"/>
    <mergeCell ref="A1:H1"/>
    <mergeCell ref="A31:K31"/>
    <mergeCell ref="A45:G45"/>
    <mergeCell ref="A46:G46"/>
  </mergeCells>
  <conditionalFormatting sqref="B6:H12">
    <cfRule type="colorScale" priority="1">
      <colorScale>
        <cfvo type="min"/>
        <cfvo type="percentile" val="50"/>
        <cfvo type="max"/>
        <color rgb="00FECACA"/>
        <color rgb="00FEF3C7"/>
        <color rgb="00DCFCE7"/>
      </colorScale>
    </cfRule>
  </conditionalFormatting>
  <conditionalFormatting sqref="H34:H42">
    <cfRule type="colorScale" priority="2">
      <colorScale>
        <cfvo type="min"/>
        <cfvo type="percentile" val="50"/>
        <cfvo type="max"/>
        <color rgb="00DCFCE7"/>
        <color rgb="00FEF3C7"/>
        <color rgb="00FECACA"/>
      </colorScale>
    </cfRule>
  </conditionalFormatting>
  <conditionalFormatting sqref="B49:F57">
    <cfRule type="colorScale" priority="3">
      <colorScale>
        <cfvo type="min"/>
        <cfvo type="percentile" val="50"/>
        <cfvo type="max"/>
        <color rgb="00DCFCE7"/>
        <color rgb="00FEF3C7"/>
        <color rgb="00FECACA"/>
      </colorScale>
    </cfRule>
  </conditionalFormatting>
  <dataValidations count="1">
    <dataValidation sqref="B2" showDropDown="0" showInputMessage="0" showErrorMessage="0" allowBlank="0" type="list">
      <formula1>"Long Distance 40t,Regional 40t"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24" customWidth="1" style="60" min="1" max="1"/>
    <col width="28.79999923706055" customWidth="1" style="60" min="2" max="2"/>
    <col width="6.460000038146973" customWidth="1" style="60" min="3" max="3"/>
    <col width="15.88000011444092" customWidth="1" style="60" min="4" max="4"/>
    <col width="19.3799991607666" customWidth="1" style="60" min="5" max="5"/>
    <col width="16.14999961853027" customWidth="1" style="60" min="6" max="6"/>
    <col width="13.0600004196167" customWidth="1" style="60" min="7" max="7"/>
    <col width="10.09000015258789" customWidth="1" style="60" min="8" max="8"/>
    <col width="8.880000114440918" customWidth="1" style="60" min="9" max="9"/>
    <col width="11.03999996185303" customWidth="1" style="60" min="10" max="10"/>
    <col width="14.53999996185303" customWidth="1" style="60" min="11" max="11"/>
    <col width="10.63000011444092" customWidth="1" style="60" min="12" max="12"/>
    <col width="21.27000045776367" customWidth="1" style="60" min="13" max="13"/>
    <col width="21.53000068664551" customWidth="1" style="60" min="14" max="14"/>
    <col width="19.78000068664551" customWidth="1" style="60" min="15" max="15"/>
    <col width="21.53000068664551" customWidth="1" style="60" min="16" max="16"/>
    <col width="27.31999969482422" customWidth="1" style="60" min="17" max="17"/>
    <col width="18.84000015258789" customWidth="1" style="60" min="18" max="18"/>
    <col width="22.34000015258789" customWidth="1" style="60" min="19" max="19"/>
    <col width="21.79999923706055" customWidth="1" style="60" min="20" max="20"/>
    <col width="42" customWidth="1" style="60" min="21" max="21"/>
    <col width="45" customWidth="1" style="60" min="22" max="22"/>
    <col width="12.92000007629395" customWidth="1" style="60" min="23" max="23"/>
  </cols>
  <sheetData>
    <row r="1">
      <c r="A1" s="402" t="inlineStr">
        <is>
          <t>Vehicle capability assumptions for break-even sensitivity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6" customHeight="1" s="60">
      <c r="A2" s="403" t="inlineStr">
        <is>
          <t>Blue numbers are editable assumptions; formula cells calculate effective payload, loaded km, annual cost and break-even price. Validate payload and legal access for actual countries/routes before using commercially.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4">
      <c r="A4" s="72" t="inlineStr">
        <is>
          <t>Vehicle class</t>
        </is>
      </c>
      <c r="B4" s="72" t="inlineStr">
        <is>
          <t>Capability band</t>
        </is>
      </c>
      <c r="C4" s="72" t="inlineStr">
        <is>
          <t>GVW (t)</t>
        </is>
      </c>
      <c r="D4" s="72" t="inlineStr">
        <is>
          <t>Payload capacity (t)</t>
        </is>
      </c>
      <c r="E4" s="72" t="inlineStr">
        <is>
          <t>Base payload utilisation</t>
        </is>
      </c>
      <c r="F4" s="72" t="inlineStr">
        <is>
          <t>Effective payload (t)</t>
        </is>
      </c>
      <c r="G4" s="72" t="inlineStr">
        <is>
          <t>Annual total km</t>
        </is>
      </c>
      <c r="H4" s="72" t="inlineStr">
        <is>
          <t>Loaded ratio</t>
        </is>
      </c>
      <c r="I4" s="72" t="inlineStr">
        <is>
          <t>Loaded km</t>
        </is>
      </c>
      <c r="J4" s="72" t="inlineStr">
        <is>
          <t>Fuel L/100km</t>
        </is>
      </c>
      <c r="K4" s="72" t="inlineStr">
        <is>
          <t>Fuel price (EUR/L)</t>
        </is>
      </c>
      <c r="L4" s="72" t="inlineStr">
        <is>
          <t>Fuel EUR/km</t>
        </is>
      </c>
      <c r="M4" s="72" t="inlineStr">
        <is>
          <t>Non-fuel variable EUR/km</t>
        </is>
      </c>
      <c r="N4" s="72" t="inlineStr">
        <is>
          <t>Variable cost annual (EUR)</t>
        </is>
      </c>
      <c r="O4" s="72" t="inlineStr">
        <is>
          <t>Driver annual cost (EUR)</t>
        </is>
      </c>
      <c r="P4" s="72" t="inlineStr">
        <is>
          <t>Fixed vehicle annual (EUR)</t>
        </is>
      </c>
      <c r="Q4" s="72" t="inlineStr">
        <is>
          <t>Structural overhead annual (EUR)</t>
        </is>
      </c>
      <c r="R4" s="72" t="inlineStr">
        <is>
          <t>Total annual cost (EUR)</t>
        </is>
      </c>
      <c r="S4" s="72" t="inlineStr">
        <is>
          <t>Break-even EUR/loaded km</t>
        </is>
      </c>
      <c r="T4" s="72" t="inlineStr">
        <is>
          <t>Break-even EUR/tonne-km</t>
        </is>
      </c>
      <c r="U4" s="72" t="inlineStr">
        <is>
          <t>Availability / validation note</t>
        </is>
      </c>
      <c r="V4" s="72" t="inlineStr">
        <is>
          <t>Source URL</t>
        </is>
      </c>
      <c r="W4" s="72" t="inlineStr">
        <is>
          <t>Input/data type</t>
        </is>
      </c>
    </row>
    <row r="5">
      <c r="A5" s="91" t="inlineStr">
        <is>
          <t>Small van</t>
        </is>
      </c>
      <c r="B5" s="92" t="inlineStr">
        <is>
          <t>Urban / light delivery</t>
        </is>
      </c>
      <c r="C5" s="426" t="n">
        <v>3.5</v>
      </c>
      <c r="D5" s="426" t="n">
        <v>1.2</v>
      </c>
      <c r="E5" s="427" t="n">
        <v>0.75</v>
      </c>
      <c r="F5" s="428">
        <f>D5*E5</f>
        <v/>
      </c>
      <c r="G5" s="429" t="n">
        <v>45000</v>
      </c>
      <c r="H5" s="427" t="n">
        <v>0.7</v>
      </c>
      <c r="I5" s="430">
        <f>G5*H5</f>
        <v/>
      </c>
      <c r="J5" s="426" t="n">
        <v>9.5</v>
      </c>
      <c r="K5" s="431">
        <f>'Inputs'!$C$11</f>
        <v/>
      </c>
      <c r="L5" s="432">
        <f>J5/100*K5</f>
        <v/>
      </c>
      <c r="M5" s="433" t="n">
        <v>0.1</v>
      </c>
      <c r="N5" s="434">
        <f>(L5+M5)*G5</f>
        <v/>
      </c>
      <c r="O5" s="435" t="n">
        <v>32000</v>
      </c>
      <c r="P5" s="435" t="n">
        <v>12000</v>
      </c>
      <c r="Q5" s="435" t="n">
        <v>6000</v>
      </c>
      <c r="R5" s="434">
        <f>N5+O5+P5+Q5</f>
        <v/>
      </c>
      <c r="S5" s="432">
        <f>IFERROR(R5/I5,"")</f>
        <v/>
      </c>
      <c r="T5" s="436">
        <f>IFERROR(R5/(I5*F5),"")</f>
        <v/>
      </c>
      <c r="U5" s="92" t="inlineStr">
        <is>
          <t>Model assumption; validate payload against actual van spec</t>
        </is>
      </c>
      <c r="V5" s="92" t="inlineStr">
        <is>
          <t>https://climate.ec.europa.eu/system/files/2017-03/hdv_lightweighting_en.pdf</t>
        </is>
      </c>
      <c r="W5" s="93" t="inlineStr">
        <is>
          <t>Editable</t>
        </is>
      </c>
    </row>
    <row r="6">
      <c r="A6" s="94" t="inlineStr">
        <is>
          <t>Large van 3.5t</t>
        </is>
      </c>
      <c r="B6" s="95" t="inlineStr">
        <is>
          <t>Van / courier</t>
        </is>
      </c>
      <c r="C6" s="437" t="n">
        <v>3.5</v>
      </c>
      <c r="D6" s="437" t="n">
        <v>2</v>
      </c>
      <c r="E6" s="438" t="n">
        <v>0.75</v>
      </c>
      <c r="F6" s="439">
        <f>D6*E6</f>
        <v/>
      </c>
      <c r="G6" s="440" t="n">
        <v>65000</v>
      </c>
      <c r="H6" s="438" t="n">
        <v>0.72</v>
      </c>
      <c r="I6" s="441">
        <f>G6*H6</f>
        <v/>
      </c>
      <c r="J6" s="437" t="n">
        <v>12</v>
      </c>
      <c r="K6" s="442">
        <f>'Inputs'!$C$11</f>
        <v/>
      </c>
      <c r="L6" s="443">
        <f>J6/100*K6</f>
        <v/>
      </c>
      <c r="M6" s="444" t="n">
        <v>0.14</v>
      </c>
      <c r="N6" s="445">
        <f>(L6+M6)*G6</f>
        <v/>
      </c>
      <c r="O6" s="446" t="n">
        <v>34000</v>
      </c>
      <c r="P6" s="446" t="n">
        <v>16000</v>
      </c>
      <c r="Q6" s="446" t="n">
        <v>7000</v>
      </c>
      <c r="R6" s="445">
        <f>N6+O6+P6+Q6</f>
        <v/>
      </c>
      <c r="S6" s="443">
        <f>IFERROR(R6/I6,"")</f>
        <v/>
      </c>
      <c r="T6" s="447">
        <f>IFERROR(R6/(I6*F6),"")</f>
        <v/>
      </c>
      <c r="U6" s="95" t="inlineStr">
        <is>
          <t>3.5t GVW large van; payload can reach about 2t depending on body/spec</t>
        </is>
      </c>
      <c r="V6" s="95" t="inlineStr">
        <is>
          <t>https://climate.ec.europa.eu/system/files/2017-03/hdv_lightweighting_en.pdf</t>
        </is>
      </c>
      <c r="W6" s="96" t="inlineStr">
        <is>
          <t>Editable</t>
        </is>
      </c>
    </row>
    <row r="7">
      <c r="A7" s="94" t="inlineStr">
        <is>
          <t>Light truck 7.5t</t>
        </is>
      </c>
      <c r="B7" s="95" t="inlineStr">
        <is>
          <t>Small rigid</t>
        </is>
      </c>
      <c r="C7" s="437" t="n">
        <v>7.5</v>
      </c>
      <c r="D7" s="437" t="n">
        <v>3.5</v>
      </c>
      <c r="E7" s="438" t="n">
        <v>0.8</v>
      </c>
      <c r="F7" s="439">
        <f>D7*E7</f>
        <v/>
      </c>
      <c r="G7" s="440" t="n">
        <v>75000</v>
      </c>
      <c r="H7" s="438" t="n">
        <v>0.75</v>
      </c>
      <c r="I7" s="441">
        <f>G7*H7</f>
        <v/>
      </c>
      <c r="J7" s="437" t="n">
        <v>16</v>
      </c>
      <c r="K7" s="442">
        <f>'Inputs'!$C$11</f>
        <v/>
      </c>
      <c r="L7" s="443">
        <f>J7/100*K7</f>
        <v/>
      </c>
      <c r="M7" s="444" t="n">
        <v>0.2</v>
      </c>
      <c r="N7" s="445">
        <f>(L7+M7)*G7</f>
        <v/>
      </c>
      <c r="O7" s="446" t="n">
        <v>40000</v>
      </c>
      <c r="P7" s="446" t="n">
        <v>25000</v>
      </c>
      <c r="Q7" s="446" t="n">
        <v>10000</v>
      </c>
      <c r="R7" s="445">
        <f>N7+O7+P7+Q7</f>
        <v/>
      </c>
      <c r="S7" s="443">
        <f>IFERROR(R7/I7,"")</f>
        <v/>
      </c>
      <c r="T7" s="447">
        <f>IFERROR(R7/(I7*F7),"")</f>
        <v/>
      </c>
      <c r="U7" s="95" t="inlineStr">
        <is>
          <t>Operational class assumption; validate by vehicle body and national rules</t>
        </is>
      </c>
      <c r="V7" s="95" t="str"/>
      <c r="W7" s="96" t="inlineStr">
        <is>
          <t>Editable</t>
        </is>
      </c>
    </row>
    <row r="8">
      <c r="A8" s="94" t="inlineStr">
        <is>
          <t>Medium rigid 12t</t>
        </is>
      </c>
      <c r="B8" s="95" t="inlineStr">
        <is>
          <t>Rigid truck</t>
        </is>
      </c>
      <c r="C8" s="437" t="n">
        <v>12</v>
      </c>
      <c r="D8" s="437" t="n">
        <v>6</v>
      </c>
      <c r="E8" s="438" t="n">
        <v>0.82</v>
      </c>
      <c r="F8" s="439">
        <f>D8*E8</f>
        <v/>
      </c>
      <c r="G8" s="440" t="n">
        <v>80000</v>
      </c>
      <c r="H8" s="438" t="n">
        <v>0.78</v>
      </c>
      <c r="I8" s="441">
        <f>G8*H8</f>
        <v/>
      </c>
      <c r="J8" s="437" t="n">
        <v>22</v>
      </c>
      <c r="K8" s="442">
        <f>'Inputs'!$C$11</f>
        <v/>
      </c>
      <c r="L8" s="443">
        <f>J8/100*K8</f>
        <v/>
      </c>
      <c r="M8" s="444" t="n">
        <v>0.27</v>
      </c>
      <c r="N8" s="445">
        <f>(L8+M8)*G8</f>
        <v/>
      </c>
      <c r="O8" s="446" t="n">
        <v>43000</v>
      </c>
      <c r="P8" s="446" t="n">
        <v>38000</v>
      </c>
      <c r="Q8" s="446" t="n">
        <v>12000</v>
      </c>
      <c r="R8" s="445">
        <f>N8+O8+P8+Q8</f>
        <v/>
      </c>
      <c r="S8" s="443">
        <f>IFERROR(R8/I8,"")</f>
        <v/>
      </c>
      <c r="T8" s="447">
        <f>IFERROR(R8/(I8*F8),"")</f>
        <v/>
      </c>
      <c r="U8" s="95" t="inlineStr">
        <is>
          <t>Operational class assumption; payload depends on body and axle setup</t>
        </is>
      </c>
      <c r="V8" s="95" t="str"/>
      <c r="W8" s="96" t="inlineStr">
        <is>
          <t>Editable</t>
        </is>
      </c>
    </row>
    <row r="9">
      <c r="A9" s="94" t="inlineStr">
        <is>
          <t>Rigid truck 18t</t>
        </is>
      </c>
      <c r="B9" s="95" t="inlineStr">
        <is>
          <t>Rigid truck</t>
        </is>
      </c>
      <c r="C9" s="437" t="n">
        <v>18</v>
      </c>
      <c r="D9" s="437" t="n">
        <v>9</v>
      </c>
      <c r="E9" s="438" t="n">
        <v>0.85</v>
      </c>
      <c r="F9" s="439">
        <f>D9*E9</f>
        <v/>
      </c>
      <c r="G9" s="440" t="n">
        <v>85000</v>
      </c>
      <c r="H9" s="438" t="n">
        <v>0.8</v>
      </c>
      <c r="I9" s="441">
        <f>G9*H9</f>
        <v/>
      </c>
      <c r="J9" s="437" t="n">
        <v>27</v>
      </c>
      <c r="K9" s="442">
        <f>'Inputs'!$C$11</f>
        <v/>
      </c>
      <c r="L9" s="443">
        <f>J9/100*K9</f>
        <v/>
      </c>
      <c r="M9" s="444" t="n">
        <v>0.33</v>
      </c>
      <c r="N9" s="445">
        <f>(L9+M9)*G9</f>
        <v/>
      </c>
      <c r="O9" s="446" t="n">
        <v>46000</v>
      </c>
      <c r="P9" s="446" t="n">
        <v>52000</v>
      </c>
      <c r="Q9" s="446" t="n">
        <v>14000</v>
      </c>
      <c r="R9" s="445">
        <f>N9+O9+P9+Q9</f>
        <v/>
      </c>
      <c r="S9" s="443">
        <f>IFERROR(R9/I9,"")</f>
        <v/>
      </c>
      <c r="T9" s="447">
        <f>IFERROR(R9/(I9*F9),"")</f>
        <v/>
      </c>
      <c r="U9" s="95" t="inlineStr">
        <is>
          <t>Operational class assumption; common distribution/retail class</t>
        </is>
      </c>
      <c r="V9" s="95" t="str"/>
      <c r="W9" s="96" t="inlineStr">
        <is>
          <t>Editable</t>
        </is>
      </c>
    </row>
    <row r="10">
      <c r="A10" s="94" t="inlineStr">
        <is>
          <t>Rigid truck 26t</t>
        </is>
      </c>
      <c r="B10" s="95" t="inlineStr">
        <is>
          <t>Heavy rigid</t>
        </is>
      </c>
      <c r="C10" s="437" t="n">
        <v>26</v>
      </c>
      <c r="D10" s="437" t="n">
        <v>14</v>
      </c>
      <c r="E10" s="438" t="n">
        <v>0.85</v>
      </c>
      <c r="F10" s="439">
        <f>D10*E10</f>
        <v/>
      </c>
      <c r="G10" s="440" t="n">
        <v>90000</v>
      </c>
      <c r="H10" s="438" t="n">
        <v>0.82</v>
      </c>
      <c r="I10" s="441">
        <f>G10*H10</f>
        <v/>
      </c>
      <c r="J10" s="437" t="n">
        <v>31</v>
      </c>
      <c r="K10" s="442">
        <f>'Inputs'!$C$11</f>
        <v/>
      </c>
      <c r="L10" s="443">
        <f>J10/100*K10</f>
        <v/>
      </c>
      <c r="M10" s="444" t="n">
        <v>0.4</v>
      </c>
      <c r="N10" s="445">
        <f>(L10+M10)*G10</f>
        <v/>
      </c>
      <c r="O10" s="446" t="n">
        <v>48000</v>
      </c>
      <c r="P10" s="446" t="n">
        <v>68000</v>
      </c>
      <c r="Q10" s="446" t="n">
        <v>16000</v>
      </c>
      <c r="R10" s="445">
        <f>N10+O10+P10+Q10</f>
        <v/>
      </c>
      <c r="S10" s="443">
        <f>IFERROR(R10/I10,"")</f>
        <v/>
      </c>
      <c r="T10" s="447">
        <f>IFERROR(R10/(I10*F10),"")</f>
        <v/>
      </c>
      <c r="U10" s="95" t="inlineStr">
        <is>
          <t>Operational class assumption; common 3-axle heavy rigid class</t>
        </is>
      </c>
      <c r="V10" s="95" t="str"/>
      <c r="W10" s="96" t="inlineStr">
        <is>
          <t>Editable</t>
        </is>
      </c>
    </row>
    <row r="11">
      <c r="A11" s="94" t="inlineStr">
        <is>
          <t>Articulated 40t</t>
        </is>
      </c>
      <c r="B11" s="95" t="inlineStr">
        <is>
          <t>Standard heavy artic</t>
        </is>
      </c>
      <c r="C11" s="437" t="n">
        <v>40</v>
      </c>
      <c r="D11" s="437" t="n">
        <v>24</v>
      </c>
      <c r="E11" s="438" t="n">
        <v>0.868</v>
      </c>
      <c r="F11" s="439">
        <f>D11*E11</f>
        <v/>
      </c>
      <c r="G11" s="440" t="n">
        <v>113100</v>
      </c>
      <c r="H11" s="438" t="n">
        <v>0.853</v>
      </c>
      <c r="I11" s="441">
        <f>G11*H11</f>
        <v/>
      </c>
      <c r="J11" s="437" t="n">
        <v>34.2</v>
      </c>
      <c r="K11" s="442">
        <f>'Inputs'!$C$11</f>
        <v/>
      </c>
      <c r="L11" s="443">
        <f>J11/100*K11</f>
        <v/>
      </c>
      <c r="M11" s="444" t="n">
        <v>0.1716</v>
      </c>
      <c r="N11" s="445">
        <f>(L11+M11)*G11</f>
        <v/>
      </c>
      <c r="O11" s="446" t="n">
        <v>49674</v>
      </c>
      <c r="P11" s="446" t="n">
        <v>36095</v>
      </c>
      <c r="Q11" s="446" t="n">
        <v>0</v>
      </c>
      <c r="R11" s="445">
        <f>N11+O11+P11+Q11</f>
        <v/>
      </c>
      <c r="S11" s="443">
        <f>IFERROR(R11/I11,"")</f>
        <v/>
      </c>
      <c r="T11" s="447">
        <f>IFERROR(R11/(I11*F11),"")</f>
        <v/>
      </c>
      <c r="U11" s="95" t="inlineStr">
        <is>
          <t>Standard EU heavy-goods reference class; original model anchor</t>
        </is>
      </c>
      <c r="V11" s="95" t="inlineStr">
        <is>
          <t>https://ec.europa.eu/commission/presscorner/detail/en/MEMO_13_329</t>
        </is>
      </c>
      <c r="W11" s="96" t="inlineStr">
        <is>
          <t>Editable</t>
        </is>
      </c>
    </row>
    <row r="12">
      <c r="A12" s="94" t="inlineStr">
        <is>
          <t>Articulated 44t</t>
        </is>
      </c>
      <c r="B12" s="95" t="inlineStr">
        <is>
          <t>Intermodal / heavier permitted artic</t>
        </is>
      </c>
      <c r="C12" s="437" t="n">
        <v>44</v>
      </c>
      <c r="D12" s="437" t="n">
        <v>28</v>
      </c>
      <c r="E12" s="438" t="n">
        <v>0.88</v>
      </c>
      <c r="F12" s="439">
        <f>D12*E12</f>
        <v/>
      </c>
      <c r="G12" s="440" t="n">
        <v>113100</v>
      </c>
      <c r="H12" s="438" t="n">
        <v>0.86</v>
      </c>
      <c r="I12" s="441">
        <f>G12*H12</f>
        <v/>
      </c>
      <c r="J12" s="437" t="n">
        <v>35.5</v>
      </c>
      <c r="K12" s="442">
        <f>'Inputs'!$C$11</f>
        <v/>
      </c>
      <c r="L12" s="443">
        <f>J12/100*K12</f>
        <v/>
      </c>
      <c r="M12" s="444" t="n">
        <v>0.18</v>
      </c>
      <c r="N12" s="445">
        <f>(L12+M12)*G12</f>
        <v/>
      </c>
      <c r="O12" s="446" t="n">
        <v>50000</v>
      </c>
      <c r="P12" s="446" t="n">
        <v>39000</v>
      </c>
      <c r="Q12" s="446" t="n">
        <v>18000</v>
      </c>
      <c r="R12" s="445">
        <f>N12+O12+P12+Q12</f>
        <v/>
      </c>
      <c r="S12" s="443">
        <f>IFERROR(R12/I12,"")</f>
        <v/>
      </c>
      <c r="T12" s="447">
        <f>IFERROR(R12/(I12*F12),"")</f>
        <v/>
      </c>
      <c r="U12" s="95" t="inlineStr">
        <is>
          <t>44t only where rules allow, especially combined/intermodal transport</t>
        </is>
      </c>
      <c r="V12" s="95" t="inlineStr">
        <is>
          <t>https://ec.europa.eu/commission/presscorner/detail/en/MEMO_13_329</t>
        </is>
      </c>
      <c r="W12" s="96" t="inlineStr">
        <is>
          <t>Editable</t>
        </is>
      </c>
    </row>
    <row r="13">
      <c r="A13" s="97" t="inlineStr">
        <is>
          <t>EMS / high-capacity 60t</t>
        </is>
      </c>
      <c r="B13" s="98" t="inlineStr">
        <is>
          <t>Country/permit dependent EMS</t>
        </is>
      </c>
      <c r="C13" s="448" t="n">
        <v>60</v>
      </c>
      <c r="D13" s="448" t="n">
        <v>38</v>
      </c>
      <c r="E13" s="449" t="n">
        <v>0.9</v>
      </c>
      <c r="F13" s="450">
        <f>D13*E13</f>
        <v/>
      </c>
      <c r="G13" s="451" t="n">
        <v>115000</v>
      </c>
      <c r="H13" s="449" t="n">
        <v>0.88</v>
      </c>
      <c r="I13" s="452">
        <f>G13*H13</f>
        <v/>
      </c>
      <c r="J13" s="448" t="n">
        <v>45</v>
      </c>
      <c r="K13" s="453">
        <f>'Inputs'!$C$11</f>
        <v/>
      </c>
      <c r="L13" s="454">
        <f>J13/100*K13</f>
        <v/>
      </c>
      <c r="M13" s="455" t="n">
        <v>0.23</v>
      </c>
      <c r="N13" s="456">
        <f>(L13+M13)*G13</f>
        <v/>
      </c>
      <c r="O13" s="457" t="n">
        <v>53000</v>
      </c>
      <c r="P13" s="457" t="n">
        <v>60000</v>
      </c>
      <c r="Q13" s="457" t="n">
        <v>22000</v>
      </c>
      <c r="R13" s="456">
        <f>N13+O13+P13+Q13</f>
        <v/>
      </c>
      <c r="S13" s="454">
        <f>IFERROR(R13/I13,"")</f>
        <v/>
      </c>
      <c r="T13" s="458">
        <f>IFERROR(R13/(I13*F13),"")</f>
        <v/>
      </c>
      <c r="U13" s="98" t="inlineStr">
        <is>
          <t>Not universal EU-wide; EMS/high-capacity combinations are country/route dependent</t>
        </is>
      </c>
      <c r="V13" s="98" t="inlineStr">
        <is>
          <t>https://transport.ec.europa.eu/document/download/45e1073e-373a-4156-966b-0523915dec9f_en?filename=SWD_2023_70_implementation_report_amendments_dir_96_53.pdf</t>
        </is>
      </c>
      <c r="W13" s="99" t="inlineStr">
        <is>
          <t>Editable</t>
        </is>
      </c>
    </row>
    <row r="15" ht="30" customHeight="1" s="60">
      <c r="A15" s="459" t="inlineStr">
        <is>
          <t>Note: cost values by truck class are modelling placeholders to make the sensitivity engine work. Replace with actual lease/depreciation, insurance, fuel, toll and driver cost data for commercial decisions.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</sheetData>
  <mergeCells count="3">
    <mergeCell ref="A2:W2"/>
    <mergeCell ref="A1:W1"/>
    <mergeCell ref="A15:W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8" customWidth="1" style="60" min="1" max="1"/>
    <col width="18" customWidth="1" style="60" min="2" max="2"/>
    <col width="18" customWidth="1" style="60" min="3" max="3"/>
    <col width="18" customWidth="1" style="60" min="4" max="4"/>
    <col width="16" customWidth="1" style="60" min="5" max="5"/>
    <col width="18" customWidth="1" style="60" min="6" max="6"/>
    <col width="18" customWidth="1" style="60" min="7" max="7"/>
    <col width="18" customWidth="1" style="60" min="8" max="8"/>
    <col width="16" customWidth="1" style="60" min="9" max="9"/>
    <col width="16" customWidth="1" style="60" min="11" max="11"/>
    <col width="16" customWidth="1" style="60" min="12" max="12"/>
    <col width="16" customWidth="1" style="60" min="13" max="13"/>
  </cols>
  <sheetData>
    <row r="1" ht="26" customHeight="1" s="60">
      <c r="A1" s="460" t="inlineStr">
        <is>
          <t>Customer pricing layer after break-even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190" t="inlineStr">
        <is>
          <t>Markup over break-even</t>
        </is>
      </c>
      <c r="B3" s="190" t="inlineStr">
        <is>
          <t>LD rate €/loaded km</t>
        </is>
      </c>
      <c r="C3" s="190" t="inlineStr">
        <is>
          <t>LD annual revenue</t>
        </is>
      </c>
      <c r="D3" s="190" t="inlineStr">
        <is>
          <t>LD EBIT</t>
        </is>
      </c>
      <c r="E3" s="190" t="inlineStr">
        <is>
          <t>LD EBIT margin</t>
        </is>
      </c>
      <c r="F3" s="190" t="inlineStr">
        <is>
          <t>Regional rate €/loaded km</t>
        </is>
      </c>
      <c r="G3" s="190" t="inlineStr">
        <is>
          <t>Regional annual revenue</t>
        </is>
      </c>
      <c r="H3" s="190" t="inlineStr">
        <is>
          <t>Regional EBIT</t>
        </is>
      </c>
      <c r="I3" s="190" t="inlineStr">
        <is>
          <t>Regional EBIT margin</t>
        </is>
      </c>
      <c r="K3" s="214" t="inlineStr">
        <is>
          <t>Markup</t>
        </is>
      </c>
      <c r="L3" s="214" t="inlineStr">
        <is>
          <t>LD final rate</t>
        </is>
      </c>
      <c r="M3" s="214" t="inlineStr">
        <is>
          <t>Regional final rate</t>
        </is>
      </c>
    </row>
    <row r="4">
      <c r="A4" s="461" t="n">
        <v>0</v>
      </c>
      <c r="B4" s="462">
        <f>Engine!$C$62*(1+$A4)</f>
        <v/>
      </c>
      <c r="C4" s="400">
        <f>B4*Engine!$C$31</f>
        <v/>
      </c>
      <c r="D4" s="400">
        <f>C4-Engine!$C$60</f>
        <v/>
      </c>
      <c r="E4" s="461">
        <f>IFERROR(D4/C4,0)</f>
        <v/>
      </c>
      <c r="F4" s="462">
        <f>Engine!$D$62*(1+$A4)</f>
        <v/>
      </c>
      <c r="G4" s="400">
        <f>F4*Engine!$D$31</f>
        <v/>
      </c>
      <c r="H4" s="400">
        <f>G4-Engine!$D$60</f>
        <v/>
      </c>
      <c r="I4" s="461">
        <f>IFERROR(H4/G4,0)</f>
        <v/>
      </c>
      <c r="K4" s="461">
        <f>A4</f>
        <v/>
      </c>
      <c r="L4" s="462">
        <f>B4</f>
        <v/>
      </c>
      <c r="M4" s="462">
        <f>F4</f>
        <v/>
      </c>
    </row>
    <row r="5">
      <c r="A5" s="461" t="n">
        <v>0.05</v>
      </c>
      <c r="B5" s="462">
        <f>Engine!$C$62*(1+$A5)</f>
        <v/>
      </c>
      <c r="C5" s="400">
        <f>B5*Engine!$C$31</f>
        <v/>
      </c>
      <c r="D5" s="400">
        <f>C5-Engine!$C$60</f>
        <v/>
      </c>
      <c r="E5" s="461">
        <f>IFERROR(D5/C5,0)</f>
        <v/>
      </c>
      <c r="F5" s="462">
        <f>Engine!$D$62*(1+$A5)</f>
        <v/>
      </c>
      <c r="G5" s="400">
        <f>F5*Engine!$D$31</f>
        <v/>
      </c>
      <c r="H5" s="400">
        <f>G5-Engine!$D$60</f>
        <v/>
      </c>
      <c r="I5" s="461">
        <f>IFERROR(H5/G5,0)</f>
        <v/>
      </c>
      <c r="K5" s="461">
        <f>A5</f>
        <v/>
      </c>
      <c r="L5" s="462">
        <f>B5</f>
        <v/>
      </c>
      <c r="M5" s="462">
        <f>F5</f>
        <v/>
      </c>
    </row>
    <row r="6">
      <c r="A6" s="461" t="n">
        <v>0.1</v>
      </c>
      <c r="B6" s="462">
        <f>Engine!$C$62*(1+$A6)</f>
        <v/>
      </c>
      <c r="C6" s="400">
        <f>B6*Engine!$C$31</f>
        <v/>
      </c>
      <c r="D6" s="400">
        <f>C6-Engine!$C$60</f>
        <v/>
      </c>
      <c r="E6" s="461">
        <f>IFERROR(D6/C6,0)</f>
        <v/>
      </c>
      <c r="F6" s="462">
        <f>Engine!$D$62*(1+$A6)</f>
        <v/>
      </c>
      <c r="G6" s="400">
        <f>F6*Engine!$D$31</f>
        <v/>
      </c>
      <c r="H6" s="400">
        <f>G6-Engine!$D$60</f>
        <v/>
      </c>
      <c r="I6" s="461">
        <f>IFERROR(H6/G6,0)</f>
        <v/>
      </c>
      <c r="K6" s="461">
        <f>A6</f>
        <v/>
      </c>
      <c r="L6" s="462">
        <f>B6</f>
        <v/>
      </c>
      <c r="M6" s="462">
        <f>F6</f>
        <v/>
      </c>
    </row>
    <row r="7">
      <c r="A7" s="461" t="n">
        <v>0.125</v>
      </c>
      <c r="B7" s="462">
        <f>Engine!$C$62*(1+$A7)</f>
        <v/>
      </c>
      <c r="C7" s="400">
        <f>B7*Engine!$C$31</f>
        <v/>
      </c>
      <c r="D7" s="400">
        <f>C7-Engine!$C$60</f>
        <v/>
      </c>
      <c r="E7" s="461">
        <f>IFERROR(D7/C7,0)</f>
        <v/>
      </c>
      <c r="F7" s="462">
        <f>Engine!$D$62*(1+$A7)</f>
        <v/>
      </c>
      <c r="G7" s="400">
        <f>F7*Engine!$D$31</f>
        <v/>
      </c>
      <c r="H7" s="400">
        <f>G7-Engine!$D$60</f>
        <v/>
      </c>
      <c r="I7" s="461">
        <f>IFERROR(H7/G7,0)</f>
        <v/>
      </c>
      <c r="K7" s="461">
        <f>A7</f>
        <v/>
      </c>
      <c r="L7" s="462">
        <f>B7</f>
        <v/>
      </c>
      <c r="M7" s="462">
        <f>F7</f>
        <v/>
      </c>
    </row>
    <row r="8">
      <c r="A8" s="461" t="n">
        <v>0.15</v>
      </c>
      <c r="B8" s="462">
        <f>Engine!$C$62*(1+$A8)</f>
        <v/>
      </c>
      <c r="C8" s="400">
        <f>B8*Engine!$C$31</f>
        <v/>
      </c>
      <c r="D8" s="400">
        <f>C8-Engine!$C$60</f>
        <v/>
      </c>
      <c r="E8" s="461">
        <f>IFERROR(D8/C8,0)</f>
        <v/>
      </c>
      <c r="F8" s="462">
        <f>Engine!$D$62*(1+$A8)</f>
        <v/>
      </c>
      <c r="G8" s="400">
        <f>F8*Engine!$D$31</f>
        <v/>
      </c>
      <c r="H8" s="400">
        <f>G8-Engine!$D$60</f>
        <v/>
      </c>
      <c r="I8" s="461">
        <f>IFERROR(H8/G8,0)</f>
        <v/>
      </c>
      <c r="K8" s="461">
        <f>A8</f>
        <v/>
      </c>
      <c r="L8" s="462">
        <f>B8</f>
        <v/>
      </c>
      <c r="M8" s="462">
        <f>F8</f>
        <v/>
      </c>
    </row>
    <row r="9">
      <c r="A9" s="461" t="n">
        <v>0.2</v>
      </c>
      <c r="B9" s="462">
        <f>Engine!$C$62*(1+$A9)</f>
        <v/>
      </c>
      <c r="C9" s="400">
        <f>B9*Engine!$C$31</f>
        <v/>
      </c>
      <c r="D9" s="400">
        <f>C9-Engine!$C$60</f>
        <v/>
      </c>
      <c r="E9" s="461">
        <f>IFERROR(D9/C9,0)</f>
        <v/>
      </c>
      <c r="F9" s="462">
        <f>Engine!$D$62*(1+$A9)</f>
        <v/>
      </c>
      <c r="G9" s="400">
        <f>F9*Engine!$D$31</f>
        <v/>
      </c>
      <c r="H9" s="400">
        <f>G9-Engine!$D$60</f>
        <v/>
      </c>
      <c r="I9" s="461">
        <f>IFERROR(H9/G9,0)</f>
        <v/>
      </c>
      <c r="K9" s="461">
        <f>A9</f>
        <v/>
      </c>
      <c r="L9" s="462">
        <f>B9</f>
        <v/>
      </c>
      <c r="M9" s="462">
        <f>F9</f>
        <v/>
      </c>
    </row>
    <row r="10">
      <c r="A10" s="461" t="n">
        <v>0.25</v>
      </c>
      <c r="B10" s="462">
        <f>Engine!$C$62*(1+$A10)</f>
        <v/>
      </c>
      <c r="C10" s="400">
        <f>B10*Engine!$C$31</f>
        <v/>
      </c>
      <c r="D10" s="400">
        <f>C10-Engine!$C$60</f>
        <v/>
      </c>
      <c r="E10" s="461">
        <f>IFERROR(D10/C10,0)</f>
        <v/>
      </c>
      <c r="F10" s="462">
        <f>Engine!$D$62*(1+$A10)</f>
        <v/>
      </c>
      <c r="G10" s="400">
        <f>F10*Engine!$D$31</f>
        <v/>
      </c>
      <c r="H10" s="400">
        <f>G10-Engine!$D$60</f>
        <v/>
      </c>
      <c r="I10" s="461">
        <f>IFERROR(H10/G10,0)</f>
        <v/>
      </c>
      <c r="K10" s="461">
        <f>A10</f>
        <v/>
      </c>
      <c r="L10" s="462">
        <f>B10</f>
        <v/>
      </c>
      <c r="M10" s="462">
        <f>F10</f>
        <v/>
      </c>
    </row>
    <row r="11">
      <c r="A11" s="461" t="n">
        <v>0.3</v>
      </c>
      <c r="B11" s="462">
        <f>Engine!$C$62*(1+$A11)</f>
        <v/>
      </c>
      <c r="C11" s="400">
        <f>B11*Engine!$C$31</f>
        <v/>
      </c>
      <c r="D11" s="400">
        <f>C11-Engine!$C$60</f>
        <v/>
      </c>
      <c r="E11" s="461">
        <f>IFERROR(D11/C11,0)</f>
        <v/>
      </c>
      <c r="F11" s="462">
        <f>Engine!$D$62*(1+$A11)</f>
        <v/>
      </c>
      <c r="G11" s="400">
        <f>F11*Engine!$D$31</f>
        <v/>
      </c>
      <c r="H11" s="400">
        <f>G11-Engine!$D$60</f>
        <v/>
      </c>
      <c r="I11" s="461">
        <f>IFERROR(H11/G11,0)</f>
        <v/>
      </c>
      <c r="K11" s="461">
        <f>A11</f>
        <v/>
      </c>
      <c r="L11" s="462">
        <f>B11</f>
        <v/>
      </c>
      <c r="M11" s="462">
        <f>F11</f>
        <v/>
      </c>
    </row>
    <row r="12">
      <c r="A12" s="461" t="n">
        <v>0.35</v>
      </c>
      <c r="B12" s="462">
        <f>Engine!$C$62*(1+$A12)</f>
        <v/>
      </c>
      <c r="C12" s="400">
        <f>B12*Engine!$C$31</f>
        <v/>
      </c>
      <c r="D12" s="400">
        <f>C12-Engine!$C$60</f>
        <v/>
      </c>
      <c r="E12" s="461">
        <f>IFERROR(D12/C12,0)</f>
        <v/>
      </c>
      <c r="F12" s="462">
        <f>Engine!$D$62*(1+$A12)</f>
        <v/>
      </c>
      <c r="G12" s="400">
        <f>F12*Engine!$D$31</f>
        <v/>
      </c>
      <c r="H12" s="400">
        <f>G12-Engine!$D$60</f>
        <v/>
      </c>
      <c r="I12" s="461">
        <f>IFERROR(H12/G12,0)</f>
        <v/>
      </c>
      <c r="K12" s="461">
        <f>A12</f>
        <v/>
      </c>
      <c r="L12" s="462">
        <f>B12</f>
        <v/>
      </c>
      <c r="M12" s="462">
        <f>F12</f>
        <v/>
      </c>
    </row>
    <row r="13">
      <c r="A13" s="461" t="n">
        <v>0.4</v>
      </c>
      <c r="B13" s="462">
        <f>Engine!$C$62*(1+$A13)</f>
        <v/>
      </c>
      <c r="C13" s="400">
        <f>B13*Engine!$C$31</f>
        <v/>
      </c>
      <c r="D13" s="400">
        <f>C13-Engine!$C$60</f>
        <v/>
      </c>
      <c r="E13" s="461">
        <f>IFERROR(D13/C13,0)</f>
        <v/>
      </c>
      <c r="F13" s="462">
        <f>Engine!$D$62*(1+$A13)</f>
        <v/>
      </c>
      <c r="G13" s="400">
        <f>F13*Engine!$D$31</f>
        <v/>
      </c>
      <c r="H13" s="400">
        <f>G13-Engine!$D$60</f>
        <v/>
      </c>
      <c r="I13" s="461">
        <f>IFERROR(H13/G13,0)</f>
        <v/>
      </c>
      <c r="K13" s="461">
        <f>A13</f>
        <v/>
      </c>
      <c r="L13" s="462">
        <f>B13</f>
        <v/>
      </c>
      <c r="M13" s="462">
        <f>F13</f>
        <v/>
      </c>
    </row>
    <row r="15">
      <c r="A15" s="193" t="inlineStr">
        <is>
          <t>Selected pricing assumption</t>
        </is>
      </c>
      <c r="B15" s="193" t="n"/>
      <c r="C15" s="193" t="inlineStr">
        <is>
          <t>Long Distance 40t</t>
        </is>
      </c>
      <c r="D15" s="193" t="inlineStr">
        <is>
          <t>Regional 40t</t>
        </is>
      </c>
    </row>
    <row r="16">
      <c r="A16" t="inlineStr">
        <is>
          <t>Selected markup over break-even</t>
        </is>
      </c>
      <c r="B16" t="inlineStr">
        <is>
          <t>%</t>
        </is>
      </c>
      <c r="C16" s="463" t="n">
        <v>0.125</v>
      </c>
      <c r="D16" s="463" t="n">
        <v>0.125</v>
      </c>
    </row>
    <row r="17">
      <c r="A17" t="inlineStr">
        <is>
          <t>Break-even price</t>
        </is>
      </c>
      <c r="B17" t="inlineStr">
        <is>
          <t>EUR/loaded km</t>
        </is>
      </c>
      <c r="C17" s="464">
        <f>Engine!$C$62</f>
        <v/>
      </c>
      <c r="D17" s="464">
        <f>Engine!$D$62</f>
        <v/>
      </c>
    </row>
    <row r="18">
      <c r="A18" t="inlineStr">
        <is>
          <t>Final customer rate per loaded km</t>
        </is>
      </c>
      <c r="B18" t="inlineStr">
        <is>
          <t>EUR/loaded km</t>
        </is>
      </c>
      <c r="C18" s="464">
        <f>C17*(1+C16)</f>
        <v/>
      </c>
      <c r="D18" s="464">
        <f>D17*(1+D16)</f>
        <v/>
      </c>
    </row>
    <row r="19">
      <c r="A19" t="inlineStr">
        <is>
          <t>Annual revenue at final rate</t>
        </is>
      </c>
      <c r="B19" t="inlineStr">
        <is>
          <t>EUR/year</t>
        </is>
      </c>
      <c r="C19" s="465">
        <f>C18*Engine!$C$31</f>
        <v/>
      </c>
      <c r="D19" s="465">
        <f>D18*Engine!$D$31</f>
        <v/>
      </c>
    </row>
    <row r="20">
      <c r="A20" t="inlineStr">
        <is>
          <t>EBIT at final rate</t>
        </is>
      </c>
      <c r="B20" t="inlineStr">
        <is>
          <t>EUR/year</t>
        </is>
      </c>
      <c r="C20" s="465">
        <f>C19-Engine!$C$60</f>
        <v/>
      </c>
      <c r="D20" s="465">
        <f>D19-Engine!$D$60</f>
        <v/>
      </c>
    </row>
    <row r="21">
      <c r="A21" t="inlineStr">
        <is>
          <t>EBIT margin at final rate</t>
        </is>
      </c>
      <c r="B21" t="inlineStr">
        <is>
          <t>% revenue</t>
        </is>
      </c>
      <c r="C21" s="466">
        <f>IFERROR(C20/C19,0)</f>
        <v/>
      </c>
      <c r="D21" s="466">
        <f>IFERROR(D20/D19,0)</f>
        <v/>
      </c>
    </row>
    <row r="22">
      <c r="C22" s="195" t="n"/>
      <c r="D22" s="195" t="n"/>
    </row>
    <row r="23">
      <c r="A23" s="193" t="inlineStr">
        <is>
          <t>Target margin cross-check</t>
        </is>
      </c>
      <c r="B23" s="193" t="n"/>
      <c r="C23" s="196" t="inlineStr">
        <is>
          <t>Long Distance 40t</t>
        </is>
      </c>
      <c r="D23" s="196" t="inlineStr">
        <is>
          <t>Regional 40t</t>
        </is>
      </c>
    </row>
    <row r="24">
      <c r="A24" t="inlineStr">
        <is>
          <t>Target EBIT margin from Inputs</t>
        </is>
      </c>
      <c r="B24" t="inlineStr">
        <is>
          <t>% revenue</t>
        </is>
      </c>
      <c r="C24" s="466">
        <f>Engine!$C$27</f>
        <v/>
      </c>
      <c r="D24" s="466">
        <f>Engine!$D$27</f>
        <v/>
      </c>
    </row>
    <row r="25">
      <c r="A25" t="inlineStr">
        <is>
          <t>Markup needed to reach target margin</t>
        </is>
      </c>
      <c r="B25" t="inlineStr">
        <is>
          <t>% over break-even</t>
        </is>
      </c>
      <c r="C25" s="466">
        <f>IFERROR(C24/(1-C24),0)</f>
        <v/>
      </c>
      <c r="D25" s="466">
        <f>IFERROR(D24/(1-D24),0)</f>
        <v/>
      </c>
    </row>
    <row r="26">
      <c r="A26" t="inlineStr">
        <is>
          <t>Rate needed to reach target margin</t>
        </is>
      </c>
      <c r="B26" t="inlineStr">
        <is>
          <t>EUR/loaded km</t>
        </is>
      </c>
      <c r="C26" s="464">
        <f>Engine!$C$62*(1+C25)</f>
        <v/>
      </c>
      <c r="D26" s="464">
        <f>Engine!$D$62*(1+D25)</f>
        <v/>
      </c>
    </row>
    <row r="28">
      <c r="A28" s="467" t="inlineStr">
        <is>
          <t>Logic note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468" t="inlineStr">
        <is>
          <t>Break-even is calculated first in Engine row 62.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468" t="inlineStr">
        <is>
          <t>Customer rate is then calculated here as: break-even price × (1 + markup over break-even).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468" t="inlineStr">
        <is>
          <t>A 10% markup over break-even is not the same as a 10% EBIT margin; a 10% EBIT margin requires an 11.11% markup over break-even.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</row>
    <row r="33">
      <c r="A33" s="469" t="inlineStr">
        <is>
          <t>Tax-adjusted selected pricing view</t>
        </is>
      </c>
      <c r="B33" s="1" t="n"/>
      <c r="C33" s="1" t="n"/>
      <c r="D33" s="1" t="n"/>
      <c r="E33" s="1" t="n"/>
    </row>
    <row r="35">
      <c r="A35" s="237" t="inlineStr">
        <is>
          <t>Metric</t>
        </is>
      </c>
      <c r="B35" s="237" t="inlineStr">
        <is>
          <t>Unit</t>
        </is>
      </c>
      <c r="C35" s="237" t="inlineStr">
        <is>
          <t>Long Distance 40t</t>
        </is>
      </c>
      <c r="D35" s="237" t="inlineStr">
        <is>
          <t>Regional 40t</t>
        </is>
      </c>
      <c r="E35" s="237" t="inlineStr">
        <is>
          <t>Formula / source</t>
        </is>
      </c>
    </row>
    <row r="36">
      <c r="A36" s="179" t="inlineStr">
        <is>
          <t>Customer rate excl. VAT</t>
        </is>
      </c>
      <c r="B36" s="13" t="inlineStr">
        <is>
          <t>EUR/loaded km</t>
        </is>
      </c>
      <c r="C36" s="470">
        <f>'Company &amp; Tax Profile'!C35</f>
        <v/>
      </c>
      <c r="D36" s="470">
        <f>'Company &amp; Tax Profile'!D35</f>
        <v/>
      </c>
      <c r="E36" s="13" t="inlineStr">
        <is>
          <t>From selected pricing assumption above.</t>
        </is>
      </c>
    </row>
    <row r="37">
      <c r="A37" s="179" t="inlineStr">
        <is>
          <t>Customer invoice rate incl. VAT</t>
        </is>
      </c>
      <c r="B37" s="13" t="inlineStr">
        <is>
          <t>EUR/loaded km</t>
        </is>
      </c>
      <c r="C37" s="470">
        <f>'Company &amp; Tax Profile'!C36</f>
        <v/>
      </c>
      <c r="D37" s="470">
        <f>'Company &amp; Tax Profile'!D36</f>
        <v/>
      </c>
      <c r="E37" s="13" t="inlineStr">
        <is>
          <t>From Company &amp; Tax Profile.</t>
        </is>
      </c>
    </row>
    <row r="38">
      <c r="A38" s="179" t="inlineStr">
        <is>
          <t>Annual revenue excl. VAT</t>
        </is>
      </c>
      <c r="B38" s="13" t="inlineStr">
        <is>
          <t>EUR/year</t>
        </is>
      </c>
      <c r="C38" s="471">
        <f>'Company &amp; Tax Profile'!C38</f>
        <v/>
      </c>
      <c r="D38" s="471">
        <f>'Company &amp; Tax Profile'!D38</f>
        <v/>
      </c>
      <c r="E38" s="13" t="inlineStr">
        <is>
          <t>Revenue used for EBIT.</t>
        </is>
      </c>
    </row>
    <row r="39">
      <c r="A39" s="179" t="inlineStr">
        <is>
          <t>VAT collected / payable</t>
        </is>
      </c>
      <c r="B39" s="13" t="inlineStr">
        <is>
          <t>EUR/year</t>
        </is>
      </c>
      <c r="C39" s="471">
        <f>'Company &amp; Tax Profile'!C39</f>
        <v/>
      </c>
      <c r="D39" s="471">
        <f>'Company &amp; Tax Profile'!D39</f>
        <v/>
      </c>
      <c r="E39" s="13" t="inlineStr">
        <is>
          <t>Cash/invoice layer only, not revenue.</t>
        </is>
      </c>
    </row>
    <row r="40">
      <c r="A40" s="179" t="inlineStr">
        <is>
          <t>Invoice value incl. VAT</t>
        </is>
      </c>
      <c r="B40" s="13" t="inlineStr">
        <is>
          <t>EUR/year</t>
        </is>
      </c>
      <c r="C40" s="471">
        <f>'Company &amp; Tax Profile'!C40</f>
        <v/>
      </c>
      <c r="D40" s="471">
        <f>'Company &amp; Tax Profile'!D40</f>
        <v/>
      </c>
      <c r="E40" s="13" t="inlineStr">
        <is>
          <t>Customer invoice amount incl. VAT.</t>
        </is>
      </c>
    </row>
    <row r="41">
      <c r="A41" s="179" t="inlineStr">
        <is>
          <t>EBIT before business tax</t>
        </is>
      </c>
      <c r="B41" s="13" t="inlineStr">
        <is>
          <t>EUR/year</t>
        </is>
      </c>
      <c r="C41" s="471">
        <f>'Company &amp; Tax Profile'!C41</f>
        <v/>
      </c>
      <c r="D41" s="471">
        <f>'Company &amp; Tax Profile'!D41</f>
        <v/>
      </c>
      <c r="E41" s="13" t="inlineStr">
        <is>
          <t>Operational EBIT before company tax.</t>
        </is>
      </c>
    </row>
    <row r="42">
      <c r="A42" s="179" t="inlineStr">
        <is>
          <t>Business tax charge</t>
        </is>
      </c>
      <c r="B42" s="13" t="inlineStr">
        <is>
          <t>EUR/year</t>
        </is>
      </c>
      <c r="C42" s="471">
        <f>'Company &amp; Tax Profile'!C42</f>
        <v/>
      </c>
      <c r="D42" s="471">
        <f>'Company &amp; Tax Profile'!D42</f>
        <v/>
      </c>
      <c r="E42" s="13" t="inlineStr">
        <is>
          <t>Tax on positive EBIT only.</t>
        </is>
      </c>
    </row>
    <row r="43">
      <c r="A43" s="179" t="inlineStr">
        <is>
          <t>Profit after business tax</t>
        </is>
      </c>
      <c r="B43" s="13" t="inlineStr">
        <is>
          <t>EUR/year</t>
        </is>
      </c>
      <c r="C43" s="471">
        <f>'Company &amp; Tax Profile'!C43</f>
        <v/>
      </c>
      <c r="D43" s="471">
        <f>'Company &amp; Tax Profile'!D43</f>
        <v/>
      </c>
      <c r="E43" s="13" t="inlineStr">
        <is>
          <t>EBIT minus business tax.</t>
        </is>
      </c>
    </row>
    <row r="44">
      <c r="A44" s="179" t="inlineStr">
        <is>
          <t>EBIT margin</t>
        </is>
      </c>
      <c r="B44" s="13" t="inlineStr">
        <is>
          <t>% revenue</t>
        </is>
      </c>
      <c r="C44" s="472">
        <f>'Company &amp; Tax Profile'!C44</f>
        <v/>
      </c>
      <c r="D44" s="472">
        <f>'Company &amp; Tax Profile'!D44</f>
        <v/>
      </c>
      <c r="E44" s="13" t="inlineStr">
        <is>
          <t>EBIT / revenue excl. VAT.</t>
        </is>
      </c>
    </row>
    <row r="45">
      <c r="A45" s="179" t="inlineStr">
        <is>
          <t>After-tax profit margin</t>
        </is>
      </c>
      <c r="B45" s="13" t="inlineStr">
        <is>
          <t>% revenue</t>
        </is>
      </c>
      <c r="C45" s="472">
        <f>'Company &amp; Tax Profile'!C45</f>
        <v/>
      </c>
      <c r="D45" s="472">
        <f>'Company &amp; Tax Profile'!D45</f>
        <v/>
      </c>
      <c r="E45" s="13" t="inlineStr">
        <is>
          <t>Profit after business tax / revenue excl. VAT.</t>
        </is>
      </c>
    </row>
    <row r="46">
      <c r="A46" s="179" t="inlineStr">
        <is>
          <t>Required rate for target after-tax margin</t>
        </is>
      </c>
      <c r="B46" s="13" t="inlineStr">
        <is>
          <t>EUR/loaded km</t>
        </is>
      </c>
      <c r="C46" s="470">
        <f>'Company &amp; Tax Profile'!C47</f>
        <v/>
      </c>
      <c r="D46" s="470">
        <f>'Company &amp; Tax Profile'!D47</f>
        <v/>
      </c>
      <c r="E46" s="13" t="inlineStr">
        <is>
          <t>From Company &amp; Tax Profile.</t>
        </is>
      </c>
    </row>
    <row r="47">
      <c r="A47" s="179" t="n"/>
      <c r="B47" s="13" t="n"/>
      <c r="C47" s="470" t="n"/>
      <c r="D47" s="470" t="n"/>
      <c r="E47" s="13" t="n"/>
    </row>
  </sheetData>
  <mergeCells count="6">
    <mergeCell ref="A29:I29"/>
    <mergeCell ref="A28:I28"/>
    <mergeCell ref="A33:E33"/>
    <mergeCell ref="A1:I1"/>
    <mergeCell ref="A31:I31"/>
    <mergeCell ref="A30:I30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4" customWidth="1" style="60" min="1" max="1"/>
    <col width="24" customWidth="1" style="60" min="2" max="2"/>
    <col width="18" customWidth="1" style="60" min="3" max="3"/>
    <col width="18" customWidth="1" style="60" min="4" max="4"/>
    <col width="54" customWidth="1" style="60" min="5" max="5"/>
  </cols>
  <sheetData>
    <row r="1" ht="28" customHeight="1" s="60">
      <c r="A1" s="296" t="inlineStr">
        <is>
          <t>Company &amp; Tax Profile — Cascading Jurisdiction Logic</t>
        </is>
      </c>
      <c r="B1" s="1" t="n"/>
      <c r="C1" s="1" t="n"/>
      <c r="D1" s="1" t="n"/>
      <c r="E1" s="1" t="n"/>
    </row>
    <row r="2">
      <c r="A2" s="299" t="n"/>
      <c r="B2" s="300" t="n"/>
      <c r="C2" s="300" t="n"/>
      <c r="D2" s="300" t="n"/>
      <c r="E2" s="301" t="n"/>
    </row>
    <row r="3">
      <c r="A3" s="302" t="inlineStr">
        <is>
          <t>Cascade selection</t>
        </is>
      </c>
      <c r="B3" s="303" t="inlineStr">
        <is>
          <t>Selected value</t>
        </is>
      </c>
      <c r="C3" s="303" t="inlineStr">
        <is>
          <t>Status / formula</t>
        </is>
      </c>
      <c r="D3" s="303" t="inlineStr">
        <is>
          <t>Unit</t>
        </is>
      </c>
      <c r="E3" s="304" t="inlineStr">
        <is>
          <t>Modelling note</t>
        </is>
      </c>
    </row>
    <row r="4">
      <c r="A4" s="305" t="inlineStr">
        <is>
          <t>Company country / jurisdiction</t>
        </is>
      </c>
      <c r="B4" s="306" t="inlineStr">
        <is>
          <t>Austria</t>
        </is>
      </c>
      <c r="C4" s="307" t="inlineStr">
        <is>
          <t>Master field</t>
        </is>
      </c>
      <c r="D4" s="307" t="str"/>
      <c r="E4" s="308" t="inlineStr">
        <is>
          <t>Drives company type, business model, VAT, corporate tax, payroll contribution and vehicle-tax defaults.</t>
        </is>
      </c>
    </row>
    <row r="5">
      <c r="A5" s="305" t="inlineStr">
        <is>
          <t>Company type</t>
        </is>
      </c>
      <c r="B5" s="306">
        <f>XLOOKUP($B$4,'Tax Rules'!$A$2:$A$9,'Tax Rules'!$L$2:$L$9,"")</f>
        <v/>
      </c>
      <c r="C5" s="307" t="inlineStr">
        <is>
          <t>Depends on country</t>
        </is>
      </c>
      <c r="D5" s="307" t="str"/>
      <c r="E5" s="308" t="inlineStr">
        <is>
          <t>Dropdown is filtered by selected country/jurisdiction.</t>
        </is>
      </c>
    </row>
    <row r="6">
      <c r="A6" s="305" t="inlineStr">
        <is>
          <t>Business model</t>
        </is>
      </c>
      <c r="B6" s="306">
        <f>XLOOKUP($B$4,'Tax Rules'!$A$2:$A$9,'Tax Rules'!$M$2:$M$9,"")</f>
        <v/>
      </c>
      <c r="C6" s="307" t="inlineStr">
        <is>
          <t>Depends on country + company type</t>
        </is>
      </c>
      <c r="D6" s="307" t="str"/>
      <c r="E6" s="308" t="inlineStr">
        <is>
          <t>Dropdown is filtered by country and company type.</t>
        </is>
      </c>
    </row>
    <row r="7">
      <c r="A7" s="305" t="inlineStr">
        <is>
          <t>VAT registered</t>
        </is>
      </c>
      <c r="B7" s="306">
        <f>XLOOKUP($B$4,'Tax Rules'!$A$2:$A$9,'Tax Rules'!$C$2:$C$9,"Yes")</f>
        <v/>
      </c>
      <c r="C7" s="307" t="inlineStr">
        <is>
          <t>Pre-filled from country default</t>
        </is>
      </c>
      <c r="D7" s="307" t="inlineStr">
        <is>
          <t>Yes/No</t>
        </is>
      </c>
      <c r="E7" s="308" t="inlineStr">
        <is>
          <t>VAT does not create profit. It is shown as invoice/cash value only.</t>
        </is>
      </c>
    </row>
    <row r="8">
      <c r="A8" s="305" t="inlineStr">
        <is>
          <t>Cascade validity</t>
        </is>
      </c>
      <c r="B8" s="309">
        <f>IF(COUNTIFS('Cascade Lists'!$A:$A,$B$4,'Cascade Lists'!$B:$B,$B$5,'Cascade Lists'!$C:$C,$B$6)&gt;0,"Valid cascade","Reselect company type / business model")</f>
        <v/>
      </c>
      <c r="C8" s="473" t="inlineStr">
        <is>
          <t>Check</t>
        </is>
      </c>
      <c r="D8" s="473" t="str"/>
      <c r="E8" s="308" t="inlineStr">
        <is>
          <t>If invalid, reselect company type/business model after changing country.</t>
        </is>
      </c>
    </row>
    <row r="9">
      <c r="A9" s="305" t="inlineStr">
        <is>
          <t>Standard VAT rate</t>
        </is>
      </c>
      <c r="B9" s="474">
        <f>XLOOKUP($B$4,'Tax Rules'!$A$2:$A$9,'Tax Rules'!$D$2:$D$9,0)</f>
        <v/>
      </c>
      <c r="C9" s="473" t="inlineStr">
        <is>
          <t>Pre-filled</t>
        </is>
      </c>
      <c r="D9" s="473" t="inlineStr">
        <is>
          <t>%</t>
        </is>
      </c>
      <c r="E9" s="308" t="inlineStr">
        <is>
          <t>Standard VAT rate used for customer invoice amount.</t>
        </is>
      </c>
    </row>
    <row r="10">
      <c r="A10" s="305" t="inlineStr">
        <is>
          <t>Corporate / business income tax rate</t>
        </is>
      </c>
      <c r="B10" s="474">
        <f>XLOOKUP($B$4,'Tax Rules'!$A$2:$A$9,'Tax Rules'!$E$2:$E$9,0)</f>
        <v/>
      </c>
      <c r="C10" s="473" t="inlineStr">
        <is>
          <t>Pre-filled</t>
        </is>
      </c>
      <c r="D10" s="473" t="inlineStr">
        <is>
          <t>%</t>
        </is>
      </c>
      <c r="E10" s="308" t="inlineStr">
        <is>
          <t>Standard corporate rate or simplified business-tax proxy.</t>
        </is>
      </c>
    </row>
    <row r="11">
      <c r="A11" s="305" t="inlineStr">
        <is>
          <t>Local / trade tax rate</t>
        </is>
      </c>
      <c r="B11" s="474">
        <f>XLOOKUP($B$4,'Tax Rules'!$A$2:$A$9,'Tax Rules'!$F$2:$F$9,0)</f>
        <v/>
      </c>
      <c r="C11" s="475" t="inlineStr">
        <is>
          <t>Pre-filled</t>
        </is>
      </c>
      <c r="D11" s="475" t="inlineStr">
        <is>
          <t>%</t>
        </is>
      </c>
      <c r="E11" s="308" t="inlineStr">
        <is>
          <t>Municipal/local trade tax if applicable. Germany and Hungary are modelled with proxies.</t>
        </is>
      </c>
    </row>
    <row r="12">
      <c r="A12" s="305" t="inlineStr">
        <is>
          <t>Effective business tax rate</t>
        </is>
      </c>
      <c r="B12" s="474">
        <f>MIN(MAX($B$10+$B$11,0),1)</f>
        <v/>
      </c>
      <c r="C12" s="473" t="inlineStr">
        <is>
          <t>Formula</t>
        </is>
      </c>
      <c r="D12" s="473" t="inlineStr">
        <is>
          <t>%</t>
        </is>
      </c>
      <c r="E12" s="308" t="inlineStr">
        <is>
          <t>Corporate/business tax + local/trade tax, capped between 0% and 100%.</t>
        </is>
      </c>
    </row>
    <row r="13">
      <c r="A13" s="305" t="inlineStr">
        <is>
          <t>Target after-tax profit margin</t>
        </is>
      </c>
      <c r="B13" s="474">
        <f>XLOOKUP($B$4,'Tax Rules'!$A$2:$A$9,'Tax Rules'!$K$2:$K$9,0.1)</f>
        <v/>
      </c>
      <c r="C13" s="307" t="inlineStr">
        <is>
          <t>Pre-filled default</t>
        </is>
      </c>
      <c r="D13" s="307" t="inlineStr">
        <is>
          <t>%</t>
        </is>
      </c>
      <c r="E13" s="308" t="inlineStr">
        <is>
          <t>Used to calculate required customer rate for target after-tax margin.</t>
        </is>
      </c>
    </row>
    <row r="14">
      <c r="A14" s="305" t="inlineStr">
        <is>
          <t>Employer payroll contribution rate</t>
        </is>
      </c>
      <c r="B14" s="474">
        <f>XLOOKUP($B$4,'Tax Rules'!$A$2:$A$9,'Tax Rules'!$H$2:$H$9,0)</f>
        <v/>
      </c>
      <c r="C14" s="476" t="inlineStr">
        <is>
          <t>Pre-filled</t>
        </is>
      </c>
      <c r="D14" s="476" t="inlineStr">
        <is>
          <t>% of gross salary</t>
        </is>
      </c>
      <c r="E14" s="308" t="inlineStr">
        <is>
          <t>Used by the Inputs sheet as employer tax rate on salary.</t>
        </is>
      </c>
    </row>
    <row r="15">
      <c r="A15" s="305" t="inlineStr">
        <is>
          <t>Employee contribution rate</t>
        </is>
      </c>
      <c r="B15" s="474">
        <f>XLOOKUP($B$4,'Tax Rules'!$A$2:$A$9,'Tax Rules'!$I$2:$I$9,0)</f>
        <v/>
      </c>
      <c r="C15" s="477" t="inlineStr">
        <is>
          <t>Informational</t>
        </is>
      </c>
      <c r="D15" s="477" t="inlineStr">
        <is>
          <t>% of gross salary</t>
        </is>
      </c>
      <c r="E15" s="308" t="inlineStr">
        <is>
          <t>Shown for context only; not charged again if salary inputs are gross salary.</t>
        </is>
      </c>
    </row>
    <row r="16">
      <c r="A16" s="305" t="inlineStr">
        <is>
          <t>Default vehicle tax / truck / year</t>
        </is>
      </c>
      <c r="B16" s="478">
        <f>XLOOKUP($B$4,'Tax Rules'!$A$2:$A$9,'Tax Rules'!$J$2:$J$9,0)</f>
        <v/>
      </c>
      <c r="C16" s="477" t="inlineStr">
        <is>
          <t>Pre-filled</t>
        </is>
      </c>
      <c r="D16" s="477" t="inlineStr">
        <is>
          <t>EUR/year</t>
        </is>
      </c>
      <c r="E16" s="308" t="inlineStr">
        <is>
          <t>Indicative default. Replace with vehicle-specific road/vehicle tax where available.</t>
        </is>
      </c>
    </row>
    <row r="17">
      <c r="A17" s="305" t="inlineStr">
        <is>
          <t>Currency</t>
        </is>
      </c>
      <c r="B17" s="309">
        <f>XLOOKUP($B$4,'Tax Rules'!$A$2:$A$9,'Tax Rules'!$B$2:$B$9,"EUR")</f>
        <v/>
      </c>
      <c r="C17" s="479" t="inlineStr">
        <is>
          <t>Pre-filled</t>
        </is>
      </c>
      <c r="D17" s="479" t="str"/>
      <c r="E17" s="308" t="inlineStr">
        <is>
          <t>Workbook remains in EUR; non-EUR jurisdictions need FX consistency.</t>
        </is>
      </c>
    </row>
    <row r="18">
      <c r="A18" s="305" t="inlineStr">
        <is>
          <t>Tax-source as-of</t>
        </is>
      </c>
      <c r="B18" s="309">
        <f>XLOOKUP($B$4,'Tax Rules'!$A$2:$A$9,'Tax Rules'!$R$2:$R$9,"")</f>
        <v/>
      </c>
      <c r="C18" s="480" t="inlineStr">
        <is>
          <t>Pre-filled</t>
        </is>
      </c>
      <c r="D18" s="480" t="str"/>
      <c r="E18" s="308" t="inlineStr">
        <is>
          <t>Date of source-data refresh.</t>
        </is>
      </c>
    </row>
    <row r="19">
      <c r="A19" s="305" t="inlineStr">
        <is>
          <t>Country rule note</t>
        </is>
      </c>
      <c r="B19" s="309">
        <f>XLOOKUP($B$4,'Tax Rules'!$A$2:$A$9,'Tax Rules'!$N$2:$N$9,"")</f>
        <v/>
      </c>
      <c r="C19" s="316" t="inlineStr">
        <is>
          <t>Pre-filled</t>
        </is>
      </c>
      <c r="D19" s="316" t="str"/>
      <c r="E19" s="308" t="inlineStr">
        <is>
          <t>Country-specific limitations of the simplified model.</t>
        </is>
      </c>
    </row>
    <row r="20">
      <c r="A20" s="305" t="n"/>
      <c r="B20" s="316" t="n"/>
      <c r="C20" s="316" t="n"/>
      <c r="D20" s="316" t="n"/>
      <c r="E20" s="308" t="n"/>
    </row>
    <row r="21">
      <c r="A21" s="305" t="n"/>
      <c r="B21" s="316" t="n"/>
      <c r="C21" s="316" t="n"/>
      <c r="D21" s="316" t="n"/>
      <c r="E21" s="308" t="n"/>
    </row>
    <row r="22">
      <c r="A22" s="491" t="inlineStr">
        <is>
          <t>Tax values pushed into pricing engine</t>
        </is>
      </c>
      <c r="B22" s="492" t="str"/>
      <c r="C22" s="492" t="inlineStr">
        <is>
          <t>Long distance 40t</t>
        </is>
      </c>
      <c r="D22" s="492" t="inlineStr">
        <is>
          <t>Regional 40t</t>
        </is>
      </c>
      <c r="E22" s="493" t="inlineStr">
        <is>
          <t>Source</t>
        </is>
      </c>
    </row>
    <row r="23" ht="20" customHeight="1" s="60">
      <c r="A23" s="494" t="inlineStr">
        <is>
          <t>VAT registered</t>
        </is>
      </c>
      <c r="B23" s="495" t="str"/>
      <c r="C23" s="496">
        <f>$B$7</f>
        <v/>
      </c>
      <c r="D23" s="496">
        <f>$B$7</f>
        <v/>
      </c>
      <c r="E23" s="495" t="inlineStr">
        <is>
          <t>From cascade selection</t>
        </is>
      </c>
    </row>
    <row r="24" ht="20" customHeight="1" s="60">
      <c r="A24" s="494" t="inlineStr">
        <is>
          <t>Standard VAT rate</t>
        </is>
      </c>
      <c r="B24" s="495" t="n"/>
      <c r="C24" s="497">
        <f>$B$9</f>
        <v/>
      </c>
      <c r="D24" s="497">
        <f>$B$9</f>
        <v/>
      </c>
      <c r="E24" s="495" t="n"/>
    </row>
    <row r="25" ht="20" customHeight="1" s="60">
      <c r="A25" s="494" t="inlineStr">
        <is>
          <t>Corporate / business income tax rate</t>
        </is>
      </c>
      <c r="B25" s="495" t="str"/>
      <c r="C25" s="497">
        <f>$B$10</f>
        <v/>
      </c>
      <c r="D25" s="497">
        <f>$B$10</f>
        <v/>
      </c>
      <c r="E25" s="495" t="inlineStr">
        <is>
          <t>From cascade selection</t>
        </is>
      </c>
    </row>
    <row r="26" ht="20" customHeight="1" s="60">
      <c r="A26" s="494" t="inlineStr">
        <is>
          <t>Local / trade tax rate</t>
        </is>
      </c>
      <c r="B26" s="498" t="str"/>
      <c r="C26" s="497">
        <f>$B$11</f>
        <v/>
      </c>
      <c r="D26" s="497">
        <f>$B$11</f>
        <v/>
      </c>
      <c r="E26" s="498" t="inlineStr">
        <is>
          <t>From cascade selection</t>
        </is>
      </c>
    </row>
    <row r="27" ht="20" customHeight="1" s="60">
      <c r="A27" s="494" t="inlineStr">
        <is>
          <t>Effective business tax rate</t>
        </is>
      </c>
      <c r="B27" s="495" t="str"/>
      <c r="C27" s="497">
        <f>$B$12</f>
        <v/>
      </c>
      <c r="D27" s="497">
        <f>$B$12</f>
        <v/>
      </c>
      <c r="E27" s="495" t="inlineStr">
        <is>
          <t>Formula: corporate + local/trade tax</t>
        </is>
      </c>
    </row>
    <row r="28" ht="20" customHeight="1" s="60">
      <c r="A28" s="494" t="inlineStr">
        <is>
          <t>Target after-tax profit margin</t>
        </is>
      </c>
      <c r="B28" s="495" t="str"/>
      <c r="C28" s="497">
        <f>$B$13</f>
        <v/>
      </c>
      <c r="D28" s="497">
        <f>$B$13</f>
        <v/>
      </c>
      <c r="E28" s="495" t="inlineStr">
        <is>
          <t>From cascade selection</t>
        </is>
      </c>
    </row>
    <row r="29" ht="20" customHeight="1" s="60">
      <c r="A29" s="494" t="inlineStr">
        <is>
          <t>Number of trucks</t>
        </is>
      </c>
      <c r="B29" s="495" t="str"/>
      <c r="C29" s="499" t="n">
        <v>1</v>
      </c>
      <c r="D29" s="499" t="n">
        <v>1</v>
      </c>
      <c r="E29" s="495" t="inlineStr">
        <is>
          <t>Manual profile-level assumption</t>
        </is>
      </c>
    </row>
    <row r="30" ht="20" customHeight="1" s="60">
      <c r="A30" s="494" t="inlineStr">
        <is>
          <t>Drivers per truck</t>
        </is>
      </c>
      <c r="B30" s="495" t="str"/>
      <c r="C30" s="500">
        <f>Inputs!C23</f>
        <v/>
      </c>
      <c r="D30" s="500">
        <f>Inputs!D23</f>
        <v/>
      </c>
      <c r="E30" s="495" t="inlineStr">
        <is>
          <t>Linked from Inputs</t>
        </is>
      </c>
    </row>
    <row r="31" ht="20" customHeight="1" s="60">
      <c r="A31" s="494" t="inlineStr">
        <is>
          <t>Total drivers</t>
        </is>
      </c>
      <c r="B31" s="495" t="str"/>
      <c r="C31" s="500">
        <f>C29*C30</f>
        <v/>
      </c>
      <c r="D31" s="500">
        <f>D29*D30</f>
        <v/>
      </c>
      <c r="E31" s="495" t="inlineStr">
        <is>
          <t>Formula</t>
        </is>
      </c>
    </row>
    <row r="32" ht="20" customHeight="1" s="60">
      <c r="A32" s="494" t="inlineStr">
        <is>
          <t>Employer contribution profile</t>
        </is>
      </c>
      <c r="B32" s="495" t="str"/>
      <c r="C32" s="497">
        <f>$B$14</f>
        <v/>
      </c>
      <c r="D32" s="497">
        <f>$B$14</f>
        <v/>
      </c>
      <c r="E32" s="495" t="inlineStr">
        <is>
          <t>From country payroll rule</t>
        </is>
      </c>
    </row>
    <row r="33" ht="20" customHeight="1" s="60">
      <c r="A33" s="494" t="inlineStr">
        <is>
          <t>Vehicle tax annual</t>
        </is>
      </c>
      <c r="B33" s="495" t="str"/>
      <c r="C33" s="501">
        <f>$B$16</f>
        <v/>
      </c>
      <c r="D33" s="501">
        <f>$B$16</f>
        <v/>
      </c>
      <c r="E33" s="495" t="inlineStr">
        <is>
          <t>From country vehicle-tax default</t>
        </is>
      </c>
    </row>
    <row r="34" ht="20" customHeight="1" s="60">
      <c r="A34" s="494" t="inlineStr">
        <is>
          <t>Business tax treatment note</t>
        </is>
      </c>
      <c r="B34" s="495" t="str"/>
      <c r="C34" s="501" t="inlineStr">
        <is>
          <t>Tax positive EBIT only</t>
        </is>
      </c>
      <c r="D34" s="501" t="inlineStr">
        <is>
          <t>Tax positive EBIT only</t>
        </is>
      </c>
      <c r="E34" s="495" t="inlineStr">
        <is>
          <t>Model simplification</t>
        </is>
      </c>
    </row>
    <row r="35" ht="20" customHeight="1" s="60">
      <c r="A35" s="494" t="inlineStr">
        <is>
          <t>Selected customer rate excl. VAT</t>
        </is>
      </c>
      <c r="B35" s="495" t="inlineStr">
        <is>
          <t>EUR/loaded km</t>
        </is>
      </c>
      <c r="C35" s="502">
        <f>'Pricing Scenarios'!C18</f>
        <v/>
      </c>
      <c r="D35" s="502">
        <f>'Pricing Scenarios'!D18</f>
        <v/>
      </c>
      <c r="E35" s="495" t="inlineStr">
        <is>
          <t>From Pricing Scenarios selected markup</t>
        </is>
      </c>
    </row>
    <row r="36" ht="20" customHeight="1" s="60">
      <c r="A36" s="494" t="inlineStr">
        <is>
          <t>Customer invoice rate incl. VAT</t>
        </is>
      </c>
      <c r="B36" s="495" t="inlineStr">
        <is>
          <t>EUR/loaded km</t>
        </is>
      </c>
      <c r="C36" s="502">
        <f>IF(C23="Yes",C35*(1+C24),C35)</f>
        <v/>
      </c>
      <c r="D36" s="502">
        <f>IF(D23="Yes",D35*(1+D24),D35)</f>
        <v/>
      </c>
      <c r="E36" s="495" t="inlineStr">
        <is>
          <t>Formula: excl. VAT × (1 + VAT) if VAT registered</t>
        </is>
      </c>
    </row>
    <row r="37" ht="20" customHeight="1" s="60">
      <c r="A37" s="494" t="inlineStr">
        <is>
          <t>Loaded km / year</t>
        </is>
      </c>
      <c r="B37" s="495" t="inlineStr">
        <is>
          <t>km/year</t>
        </is>
      </c>
      <c r="C37" s="501">
        <f>Engine!C31</f>
        <v/>
      </c>
      <c r="D37" s="501">
        <f>Engine!D31</f>
        <v/>
      </c>
      <c r="E37" s="495" t="inlineStr">
        <is>
          <t>From Engine</t>
        </is>
      </c>
    </row>
    <row r="38" ht="20" customHeight="1" s="60">
      <c r="A38" s="494" t="inlineStr">
        <is>
          <t>Annual revenue excl. VAT</t>
        </is>
      </c>
      <c r="B38" s="495" t="inlineStr">
        <is>
          <t>EUR/year</t>
        </is>
      </c>
      <c r="C38" s="501">
        <f>C35*C37</f>
        <v/>
      </c>
      <c r="D38" s="501">
        <f>D35*D37</f>
        <v/>
      </c>
      <c r="E38" s="495" t="inlineStr">
        <is>
          <t>Customer rate excl. VAT × loaded km/year</t>
        </is>
      </c>
    </row>
    <row r="39" ht="20" customHeight="1" s="60">
      <c r="A39" s="494" t="inlineStr">
        <is>
          <t>VAT collected / payable</t>
        </is>
      </c>
      <c r="B39" s="495" t="inlineStr">
        <is>
          <t>EUR/year</t>
        </is>
      </c>
      <c r="C39" s="501">
        <f>IF(C23="Yes",C38*C24,0)</f>
        <v/>
      </c>
      <c r="D39" s="501">
        <f>IF(D23="Yes",D38*D24,0)</f>
        <v/>
      </c>
      <c r="E39" s="495" t="inlineStr">
        <is>
          <t>Invoice VAT component</t>
        </is>
      </c>
    </row>
    <row r="40" ht="20" customHeight="1" s="60">
      <c r="A40" s="494" t="inlineStr">
        <is>
          <t>Invoice value incl. VAT</t>
        </is>
      </c>
      <c r="B40" s="495" t="inlineStr">
        <is>
          <t>EUR/year</t>
        </is>
      </c>
      <c r="C40" s="501">
        <f>C38+C39</f>
        <v/>
      </c>
      <c r="D40" s="501">
        <f>D38+D39</f>
        <v/>
      </c>
      <c r="E40" s="495" t="inlineStr">
        <is>
          <t>Revenue excl. VAT + VAT</t>
        </is>
      </c>
    </row>
    <row r="41" ht="20" customHeight="1" s="60">
      <c r="A41" s="494" t="inlineStr">
        <is>
          <t>EBIT before business tax</t>
        </is>
      </c>
      <c r="B41" s="495" t="inlineStr">
        <is>
          <t>EUR/year</t>
        </is>
      </c>
      <c r="C41" s="501">
        <f>C38-Engine!C60</f>
        <v/>
      </c>
      <c r="D41" s="501">
        <f>D38-Engine!D60</f>
        <v/>
      </c>
      <c r="E41" s="495" t="inlineStr">
        <is>
          <t>Revenue excl. VAT - operating total cost</t>
        </is>
      </c>
    </row>
    <row r="42" ht="20" customHeight="1" s="60">
      <c r="A42" s="494" t="inlineStr">
        <is>
          <t>Business tax charge</t>
        </is>
      </c>
      <c r="B42" s="495" t="n"/>
      <c r="C42" s="501">
        <f>MAX(0,C41)*C27</f>
        <v/>
      </c>
      <c r="D42" s="501">
        <f>MAX(0,D41)*D27</f>
        <v/>
      </c>
      <c r="E42" s="495" t="n"/>
    </row>
    <row r="43" ht="20" customHeight="1" s="60">
      <c r="A43" s="494" t="inlineStr">
        <is>
          <t>Profit after business tax</t>
        </is>
      </c>
      <c r="B43" s="495" t="inlineStr">
        <is>
          <t>EUR/year</t>
        </is>
      </c>
      <c r="C43" s="501">
        <f>C41-C42</f>
        <v/>
      </c>
      <c r="D43" s="501">
        <f>D41-D42</f>
        <v/>
      </c>
      <c r="E43" s="495" t="inlineStr">
        <is>
          <t>EBIT - business tax</t>
        </is>
      </c>
    </row>
    <row r="44" ht="20" customHeight="1" s="60">
      <c r="A44" s="494" t="inlineStr">
        <is>
          <t>EBIT margin</t>
        </is>
      </c>
      <c r="B44" s="495" t="inlineStr">
        <is>
          <t>%</t>
        </is>
      </c>
      <c r="C44" s="497">
        <f>IFERROR(C41/C38,0)</f>
        <v/>
      </c>
      <c r="D44" s="497">
        <f>IFERROR(D41/D38,0)</f>
        <v/>
      </c>
      <c r="E44" s="495" t="inlineStr">
        <is>
          <t>EBIT / revenue excl. VAT</t>
        </is>
      </c>
    </row>
    <row r="45" ht="20" customHeight="1" s="60">
      <c r="A45" s="494" t="inlineStr">
        <is>
          <t>After-tax profit margin</t>
        </is>
      </c>
      <c r="B45" s="495" t="inlineStr">
        <is>
          <t>%</t>
        </is>
      </c>
      <c r="C45" s="497">
        <f>IFERROR(C43/C38,0)</f>
        <v/>
      </c>
      <c r="D45" s="497">
        <f>IFERROR(D43/D38,0)</f>
        <v/>
      </c>
      <c r="E45" s="495" t="inlineStr">
        <is>
          <t>Profit after business tax / revenue excl. VAT</t>
        </is>
      </c>
    </row>
    <row r="46" ht="20" customHeight="1" s="60">
      <c r="A46" s="494" t="inlineStr">
        <is>
          <t>Required after-tax profit</t>
        </is>
      </c>
      <c r="B46" s="495" t="inlineStr">
        <is>
          <t>EUR/year</t>
        </is>
      </c>
      <c r="C46" s="501">
        <f>IFERROR(C38*C28/(1-C27),0)</f>
        <v/>
      </c>
      <c r="D46" s="501">
        <f>IFERROR(D38*D28/(1-D27),0)</f>
        <v/>
      </c>
      <c r="E46" s="495" t="inlineStr">
        <is>
          <t>Revenue excl. VAT × target after-tax margin / (1 - tax rate)</t>
        </is>
      </c>
    </row>
    <row r="47" ht="35" customHeight="1" s="60">
      <c r="A47" s="494" t="inlineStr">
        <is>
          <t>Required customer rate for target after-tax margin</t>
        </is>
      </c>
      <c r="B47" s="495" t="inlineStr">
        <is>
          <t>EUR/loaded km</t>
        </is>
      </c>
      <c r="C47" s="502">
        <f>IFERROR((Engine!C60+C46)/C37,0)</f>
        <v/>
      </c>
      <c r="D47" s="502">
        <f>IFERROR((Engine!D60+D46)/D37,0)</f>
        <v/>
      </c>
      <c r="E47" s="495" t="inlineStr">
        <is>
          <t>(Cost + required after-tax profit) / loaded km</t>
        </is>
      </c>
    </row>
  </sheetData>
  <mergeCells count="1">
    <mergeCell ref="A1:E1"/>
  </mergeCells>
  <dataValidations count="4">
    <dataValidation sqref="B4" showDropDown="0" showInputMessage="0" showErrorMessage="0" allowBlank="0" type="list">
      <formula1>'Tax Rules'!$A$2:$A$9</formula1>
    </dataValidation>
    <dataValidation sqref="B5" showDropDown="0" showInputMessage="0" showErrorMessage="0" allowBlank="1" type="list">
      <formula1>'Dropdown Helper'!$A$2:$A$30</formula1>
    </dataValidation>
    <dataValidation sqref="B6" showDropDown="0" showInputMessage="0" showErrorMessage="0" allowBlank="1" type="list">
      <formula1>'Dropdown Helper'!$C$2:$C$30</formula1>
    </dataValidation>
    <dataValidation sqref="B7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7.36000061035156" customWidth="1" style="60" min="1" max="1"/>
    <col width="7.670000076293945" customWidth="1" style="60" min="2" max="2"/>
    <col width="18.17000007629395" customWidth="1" style="60" min="3" max="3"/>
    <col width="14.53999996185303" customWidth="1" style="60" min="4" max="4"/>
    <col width="30.01000022888184" customWidth="1" style="60" min="5" max="5"/>
    <col width="24.36000061035156" customWidth="1" style="60" min="6" max="6"/>
    <col width="21" customWidth="1" style="60" min="7" max="7"/>
    <col width="28.1299991607666" customWidth="1" style="60" min="8" max="8"/>
    <col width="22.34000015258789" customWidth="1" style="60" min="9" max="9"/>
    <col width="26.3799991607666" customWidth="1" style="60" min="10" max="10"/>
    <col width="24.89999961853027" customWidth="1" style="60" min="11" max="11"/>
    <col width="18.03000068664551" customWidth="1" style="60" min="12" max="12"/>
    <col width="19.11000061035156" customWidth="1" style="60" min="13" max="13"/>
    <col width="72" customWidth="1" style="60" min="14" max="14"/>
    <col width="44" customWidth="1" style="60" min="15" max="15"/>
    <col width="44" customWidth="1" style="60" min="16" max="16"/>
    <col width="44" customWidth="1" style="60" min="17" max="17"/>
    <col width="6.590000152587891" customWidth="1" style="60" min="18" max="18"/>
  </cols>
  <sheetData>
    <row r="1">
      <c r="A1" s="348" t="inlineStr">
        <is>
          <t>Country / jurisdiction</t>
        </is>
      </c>
      <c r="B1" s="349" t="inlineStr">
        <is>
          <t>Currency</t>
        </is>
      </c>
      <c r="C1" s="349" t="inlineStr">
        <is>
          <t>Default VAT registered</t>
        </is>
      </c>
      <c r="D1" s="349" t="inlineStr">
        <is>
          <t>Standard VAT rate</t>
        </is>
      </c>
      <c r="E1" s="349" t="inlineStr">
        <is>
          <t>Corporate / business income tax rate</t>
        </is>
      </c>
      <c r="F1" s="349" t="inlineStr">
        <is>
          <t>Local / trade business tax rate</t>
        </is>
      </c>
      <c r="G1" s="349" t="inlineStr">
        <is>
          <t>Effective business tax rate</t>
        </is>
      </c>
      <c r="H1" s="349" t="inlineStr">
        <is>
          <t>Employer payroll contribution rate</t>
        </is>
      </c>
      <c r="I1" s="349" t="inlineStr">
        <is>
          <t>Employee contribution rate</t>
        </is>
      </c>
      <c r="J1" s="349" t="inlineStr">
        <is>
          <t>Default vehicle tax / truck / year</t>
        </is>
      </c>
      <c r="K1" s="349" t="inlineStr">
        <is>
          <t>Default target after-tax margin</t>
        </is>
      </c>
      <c r="L1" s="349" t="inlineStr">
        <is>
          <t>Default company type</t>
        </is>
      </c>
      <c r="M1" s="349" t="inlineStr">
        <is>
          <t>Default business model</t>
        </is>
      </c>
      <c r="N1" s="361" t="inlineStr">
        <is>
          <t>Modelling note</t>
        </is>
      </c>
      <c r="O1" s="361" t="inlineStr">
        <is>
          <t>VAT source URL</t>
        </is>
      </c>
      <c r="P1" s="361" t="inlineStr">
        <is>
          <t>Corporate tax source URL</t>
        </is>
      </c>
      <c r="Q1" s="361" t="inlineStr">
        <is>
          <t>Payroll source URL</t>
        </is>
      </c>
      <c r="R1" s="362" t="inlineStr">
        <is>
          <t>As-of</t>
        </is>
      </c>
    </row>
    <row r="2">
      <c r="A2" s="351" t="inlineStr">
        <is>
          <t>Austria</t>
        </is>
      </c>
      <c r="B2" s="352" t="inlineStr">
        <is>
          <t>EUR</t>
        </is>
      </c>
      <c r="C2" s="352" t="inlineStr">
        <is>
          <t>Yes</t>
        </is>
      </c>
      <c r="D2" s="487" t="n">
        <v>0.2</v>
      </c>
      <c r="E2" s="487" t="n">
        <v>0.23</v>
      </c>
      <c r="F2" s="487" t="n">
        <v>0</v>
      </c>
      <c r="G2" s="487" t="n">
        <v>0.23</v>
      </c>
      <c r="H2" s="487" t="n">
        <v>0.2098</v>
      </c>
      <c r="I2" s="487" t="n">
        <v>0.1807</v>
      </c>
      <c r="J2" s="488" t="n">
        <v>800</v>
      </c>
      <c r="K2" s="487" t="n">
        <v>0.1</v>
      </c>
      <c r="L2" s="352" t="inlineStr">
        <is>
          <t>GmbH</t>
        </is>
      </c>
      <c r="M2" s="352" t="inlineStr">
        <is>
          <t>Fleet operator</t>
        </is>
      </c>
      <c r="N2" s="352" t="inlineStr">
        <is>
          <t>Corporate rate used for GmbH/AG. Sole traders are subject to progressive personal income tax; validate separately. Vehicle tax is indicative and should be replaced with vehicle-specific Austrian motor/tax data.</t>
        </is>
      </c>
      <c r="O2" s="352" t="inlineStr">
        <is>
          <t>https://www.usp.gv.at/en/themen/steuern-finanzen/umsatzsteuer-ueberblick/steuersaetze-und-steuerbefreiungen-der-umsatzsteuer.html</t>
        </is>
      </c>
      <c r="P2" s="352" t="inlineStr">
        <is>
          <t>https://www.usp.gv.at/en/themen/steuern-finanzen/koerperschaftsteuer-ueberblick.html</t>
        </is>
      </c>
      <c r="Q2" s="352" t="inlineStr">
        <is>
          <t>https://taxsummaries.pwc.com/austria/individual/other-taxes</t>
        </is>
      </c>
      <c r="R2" s="353" t="inlineStr">
        <is>
          <t>2026-05</t>
        </is>
      </c>
    </row>
    <row r="3">
      <c r="A3" s="351" t="inlineStr">
        <is>
          <t>Germany</t>
        </is>
      </c>
      <c r="B3" s="352" t="inlineStr">
        <is>
          <t>EUR</t>
        </is>
      </c>
      <c r="C3" s="352" t="inlineStr">
        <is>
          <t>Yes</t>
        </is>
      </c>
      <c r="D3" s="487" t="n">
        <v>0.19</v>
      </c>
      <c r="E3" s="487" t="n">
        <v>0.15825</v>
      </c>
      <c r="F3" s="487" t="n">
        <v>0.14</v>
      </c>
      <c r="G3" s="487" t="n">
        <v>0.29825</v>
      </c>
      <c r="H3" s="487" t="n">
        <v>0.1942</v>
      </c>
      <c r="I3" s="487" t="n">
        <v>0.1933</v>
      </c>
      <c r="J3" s="488" t="n">
        <v>900</v>
      </c>
      <c r="K3" s="487" t="n">
        <v>0.1</v>
      </c>
      <c r="L3" s="352" t="inlineStr">
        <is>
          <t>GmbH</t>
        </is>
      </c>
      <c r="M3" s="352" t="inlineStr">
        <is>
          <t>Fleet operator</t>
        </is>
      </c>
      <c r="N3" s="352" t="inlineStr">
        <is>
          <t>Corporate tax includes 15% Körperschaftsteuer plus 5.5% solidarity surcharge on CIT. Trade tax is municipal; 14% is an average modelling proxy and should be replaced with the exact municipality rate.</t>
        </is>
      </c>
      <c r="O3" s="352" t="inlineStr">
        <is>
          <t>https://taxation-customs.ec.europa.eu/taxation/vat/vat-directive/vat-rates_en</t>
        </is>
      </c>
      <c r="P3" s="352" t="inlineStr">
        <is>
          <t>https://taxsummaries.pwc.com/germany/corporate/taxes-on-corporate-income</t>
        </is>
      </c>
      <c r="Q3" s="352" t="inlineStr">
        <is>
          <t>https://taxsummaries.pwc.com/germany/individual/other-taxes</t>
        </is>
      </c>
      <c r="R3" s="353" t="inlineStr">
        <is>
          <t>2026-05</t>
        </is>
      </c>
    </row>
    <row r="4">
      <c r="A4" s="351" t="inlineStr">
        <is>
          <t>Romania</t>
        </is>
      </c>
      <c r="B4" s="352" t="inlineStr">
        <is>
          <t>RON/EUR</t>
        </is>
      </c>
      <c r="C4" s="352" t="inlineStr">
        <is>
          <t>Yes</t>
        </is>
      </c>
      <c r="D4" s="487" t="n">
        <v>0.21</v>
      </c>
      <c r="E4" s="487" t="n">
        <v>0.16</v>
      </c>
      <c r="F4" s="487" t="n">
        <v>0</v>
      </c>
      <c r="G4" s="487" t="n">
        <v>0.16</v>
      </c>
      <c r="H4" s="487" t="n">
        <v>0.0225</v>
      </c>
      <c r="I4" s="487" t="n">
        <v>0.35</v>
      </c>
      <c r="J4" s="488" t="n">
        <v>500</v>
      </c>
      <c r="K4" s="487" t="n">
        <v>0.1</v>
      </c>
      <c r="L4" s="352" t="inlineStr">
        <is>
          <t>SRL</t>
        </is>
      </c>
      <c r="M4" s="352" t="inlineStr">
        <is>
          <t>Fleet operator</t>
        </is>
      </c>
      <c r="N4" s="352" t="inlineStr">
        <is>
          <t>Standard CIT used for SRL/SA. Micro-company turnover tax regimes and special working-condition contributions are not modelled by default. VAT standard rate increased to 21% from 1 August 2025.</t>
        </is>
      </c>
      <c r="O4" s="352" t="inlineStr">
        <is>
          <t>https://www.ey.com/en_gl/technical/tax-alerts/romanian-tax-changes-introduced-by-new-fiscal-and-budgetary-measures</t>
        </is>
      </c>
      <c r="P4" s="352" t="inlineStr">
        <is>
          <t>https://www.accace.com/tax-guideline-for-romania/</t>
        </is>
      </c>
      <c r="Q4" s="352" t="inlineStr">
        <is>
          <t>https://taxsummaries.pwc.com/romania/individual/other-taxes</t>
        </is>
      </c>
      <c r="R4" s="353" t="inlineStr">
        <is>
          <t>2026-05</t>
        </is>
      </c>
    </row>
    <row r="5">
      <c r="A5" s="351" t="inlineStr">
        <is>
          <t>Hungary</t>
        </is>
      </c>
      <c r="B5" s="352" t="inlineStr">
        <is>
          <t>HUF/EUR</t>
        </is>
      </c>
      <c r="C5" s="352" t="inlineStr">
        <is>
          <t>Yes</t>
        </is>
      </c>
      <c r="D5" s="487" t="n">
        <v>0.27</v>
      </c>
      <c r="E5" s="487" t="n">
        <v>0.09</v>
      </c>
      <c r="F5" s="487" t="n">
        <v>0.02</v>
      </c>
      <c r="G5" s="487" t="n">
        <v>0.11</v>
      </c>
      <c r="H5" s="487" t="n">
        <v>0.13</v>
      </c>
      <c r="I5" s="487" t="n">
        <v>0.185</v>
      </c>
      <c r="J5" s="488" t="n">
        <v>500</v>
      </c>
      <c r="K5" s="487" t="n">
        <v>0.1</v>
      </c>
      <c r="L5" s="352" t="inlineStr">
        <is>
          <t>Kft.</t>
        </is>
      </c>
      <c r="M5" s="352" t="inlineStr">
        <is>
          <t>Fleet operator</t>
        </is>
      </c>
      <c r="N5" s="352" t="inlineStr">
        <is>
          <t>Local business tax can be up to 2% and is not an EBIT tax; the model uses it as a simplified profit-tax proxy for pricing sensitivity. Validate with municipality and accountant.</t>
        </is>
      </c>
      <c r="O5" s="352" t="inlineStr">
        <is>
          <t>https://taxation-customs.ec.europa.eu/taxation/vat/vat-directive/vat-rates_en</t>
        </is>
      </c>
      <c r="P5" s="352" t="inlineStr">
        <is>
          <t>https://taxsummaries.pwc.com/hungary/corporate/taxes-on-corporate-income</t>
        </is>
      </c>
      <c r="Q5" s="352" t="inlineStr">
        <is>
          <t>https://taxsummaries.pwc.com/hungary/individual/other-taxes</t>
        </is>
      </c>
      <c r="R5" s="353" t="inlineStr">
        <is>
          <t>2026-05</t>
        </is>
      </c>
    </row>
    <row r="6">
      <c r="A6" s="351" t="inlineStr">
        <is>
          <t>Bulgaria</t>
        </is>
      </c>
      <c r="B6" s="352" t="inlineStr">
        <is>
          <t>BGN/EUR</t>
        </is>
      </c>
      <c r="C6" s="352" t="inlineStr">
        <is>
          <t>Yes</t>
        </is>
      </c>
      <c r="D6" s="487" t="n">
        <v>0.2</v>
      </c>
      <c r="E6" s="487" t="n">
        <v>0.1</v>
      </c>
      <c r="F6" s="487" t="n">
        <v>0</v>
      </c>
      <c r="G6" s="487" t="n">
        <v>0.1</v>
      </c>
      <c r="H6" s="487" t="n">
        <v>0.193</v>
      </c>
      <c r="I6" s="487" t="n">
        <v>0.1378</v>
      </c>
      <c r="J6" s="488" t="n">
        <v>400</v>
      </c>
      <c r="K6" s="487" t="n">
        <v>0.1</v>
      </c>
      <c r="L6" s="352" t="inlineStr">
        <is>
          <t>EOOD/OOD</t>
        </is>
      </c>
      <c r="M6" s="352" t="inlineStr">
        <is>
          <t>Fleet operator</t>
        </is>
      </c>
      <c r="N6" s="352" t="inlineStr">
        <is>
          <t>Flat 10% CIT used. Employer contribution uses mid-point of published 2026 range; actual rate depends on activity class and caps. No provincial/local corporate income tax.</t>
        </is>
      </c>
      <c r="O6" s="352" t="inlineStr">
        <is>
          <t>https://taxsummaries.pwc.com/bulgaria/corporate/other-taxes</t>
        </is>
      </c>
      <c r="P6" s="352" t="inlineStr">
        <is>
          <t>https://taxsummaries.pwc.com/bulgaria/corporate/taxes-on-corporate-income</t>
        </is>
      </c>
      <c r="Q6" s="352" t="inlineStr">
        <is>
          <t>https://taxsummaries.pwc.com/bulgaria/individual/other-taxes</t>
        </is>
      </c>
      <c r="R6" s="353" t="inlineStr">
        <is>
          <t>2026-05</t>
        </is>
      </c>
    </row>
    <row r="7">
      <c r="A7" s="351" t="inlineStr">
        <is>
          <t>Czechia</t>
        </is>
      </c>
      <c r="B7" s="352" t="inlineStr">
        <is>
          <t>CZK/EUR</t>
        </is>
      </c>
      <c r="C7" s="352" t="inlineStr">
        <is>
          <t>Yes</t>
        </is>
      </c>
      <c r="D7" s="487" t="n">
        <v>0.21</v>
      </c>
      <c r="E7" s="487" t="n">
        <v>0.21</v>
      </c>
      <c r="F7" s="487" t="n">
        <v>0</v>
      </c>
      <c r="G7" s="487" t="n">
        <v>0.21</v>
      </c>
      <c r="H7" s="487" t="n">
        <v>0.338</v>
      </c>
      <c r="I7" s="487" t="n">
        <v>0.116</v>
      </c>
      <c r="J7" s="488" t="n">
        <v>550</v>
      </c>
      <c r="K7" s="487" t="n">
        <v>0.1</v>
      </c>
      <c r="L7" s="352" t="inlineStr">
        <is>
          <t>s.r.o.</t>
        </is>
      </c>
      <c r="M7" s="352" t="inlineStr">
        <is>
          <t>Fleet operator</t>
        </is>
      </c>
      <c r="N7" s="352" t="inlineStr">
        <is>
          <t>Standard corporate rate used for s.r.o./a.s. Employer contribution combines 24.8% social security and 9% health insurance. Vehicle tax is indicative.</t>
        </is>
      </c>
      <c r="O7" s="352" t="inlineStr">
        <is>
          <t>https://taxation-customs.ec.europa.eu/taxation/vat/vat-directive/vat-rates_en</t>
        </is>
      </c>
      <c r="P7" s="352" t="inlineStr">
        <is>
          <t>https://portal.gov.cz/en/informace/what-is-the-corporate-income-tax-rate-INF-329</t>
        </is>
      </c>
      <c r="Q7" s="352" t="inlineStr">
        <is>
          <t>https://taxsummaries.pwc.com/czech-republic/individual/other-taxes</t>
        </is>
      </c>
      <c r="R7" s="353" t="inlineStr">
        <is>
          <t>2026-05</t>
        </is>
      </c>
    </row>
    <row r="8">
      <c r="A8" s="351" t="inlineStr">
        <is>
          <t>Slovakia</t>
        </is>
      </c>
      <c r="B8" s="352" t="inlineStr">
        <is>
          <t>EUR</t>
        </is>
      </c>
      <c r="C8" s="352" t="inlineStr">
        <is>
          <t>Yes</t>
        </is>
      </c>
      <c r="D8" s="487" t="n">
        <v>0.23</v>
      </c>
      <c r="E8" s="487" t="n">
        <v>0.21</v>
      </c>
      <c r="F8" s="487" t="n">
        <v>0</v>
      </c>
      <c r="G8" s="487" t="n">
        <v>0.21</v>
      </c>
      <c r="H8" s="487" t="n">
        <v>0.362</v>
      </c>
      <c r="I8" s="487" t="n">
        <v>0.144</v>
      </c>
      <c r="J8" s="488" t="n">
        <v>550</v>
      </c>
      <c r="K8" s="487" t="n">
        <v>0.1</v>
      </c>
      <c r="L8" s="352" t="inlineStr">
        <is>
          <t>s.r.o.</t>
        </is>
      </c>
      <c r="M8" s="352" t="inlineStr">
        <is>
          <t>Fleet operator</t>
        </is>
      </c>
      <c r="N8" s="352" t="inlineStr">
        <is>
          <t>Default CIT rate assumes taxable income above EUR 100k and up to EUR 5m. 10% micro and 24% high-income bands may apply. Employer contributions total 36.2% in 2026.</t>
        </is>
      </c>
      <c r="O8" s="352" t="inlineStr">
        <is>
          <t>https://taxsummaries.pwc.com/slovak-republic/corporate/other-taxes</t>
        </is>
      </c>
      <c r="P8" s="352" t="inlineStr">
        <is>
          <t>https://www.accace.com/tax-guideline-for-slovakia/</t>
        </is>
      </c>
      <c r="Q8" s="352" t="inlineStr">
        <is>
          <t>https://taxsummaries.pwc.com/slovak-republic/corporate/other-taxes</t>
        </is>
      </c>
      <c r="R8" s="353" t="inlineStr">
        <is>
          <t>2026-05</t>
        </is>
      </c>
    </row>
    <row r="9">
      <c r="A9" s="354" t="inlineStr">
        <is>
          <t>Manual / Custom</t>
        </is>
      </c>
      <c r="B9" s="355" t="inlineStr">
        <is>
          <t>EUR</t>
        </is>
      </c>
      <c r="C9" s="355" t="inlineStr">
        <is>
          <t>No</t>
        </is>
      </c>
      <c r="D9" s="489" t="n">
        <v>0</v>
      </c>
      <c r="E9" s="489" t="n">
        <v>0</v>
      </c>
      <c r="F9" s="489" t="n">
        <v>0</v>
      </c>
      <c r="G9" s="489" t="n">
        <v>0</v>
      </c>
      <c r="H9" s="489" t="n">
        <v>0</v>
      </c>
      <c r="I9" s="489" t="n">
        <v>0</v>
      </c>
      <c r="J9" s="490" t="n">
        <v>0</v>
      </c>
      <c r="K9" s="489" t="n">
        <v>0.1</v>
      </c>
      <c r="L9" s="355" t="inlineStr">
        <is>
          <t>Manual entity</t>
        </is>
      </c>
      <c r="M9" s="355" t="inlineStr">
        <is>
          <t>Fleet operator</t>
        </is>
      </c>
      <c r="N9" s="355" t="inlineStr">
        <is>
          <t>Use this option when the jurisdiction or exact legal entity is not included. Replace all default rates manually before using the model commercially.</t>
        </is>
      </c>
      <c r="O9" s="355" t="inlineStr">
        <is>
          <t>Manual input</t>
        </is>
      </c>
      <c r="P9" s="355" t="inlineStr">
        <is>
          <t>Manual input</t>
        </is>
      </c>
      <c r="Q9" s="355" t="inlineStr">
        <is>
          <t>Manual input</t>
        </is>
      </c>
      <c r="R9" s="356" t="inlineStr">
        <is>
          <t>2026-05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7.36000061035156" customWidth="1" style="60" min="1" max="1"/>
    <col width="15.60999965667725" customWidth="1" style="60" min="2" max="2"/>
    <col width="21.79999923706055" customWidth="1" style="60" min="3" max="3"/>
    <col width="7.130000114440918" customWidth="1" style="60" min="4" max="4"/>
  </cols>
  <sheetData>
    <row r="1">
      <c r="A1" s="348" t="inlineStr">
        <is>
          <t>Country / jurisdiction</t>
        </is>
      </c>
      <c r="B1" s="349" t="inlineStr">
        <is>
          <t>Company type</t>
        </is>
      </c>
      <c r="C1" s="349" t="inlineStr">
        <is>
          <t>Business model</t>
        </is>
      </c>
      <c r="D1" s="350" t="inlineStr">
        <is>
          <t>Status</t>
        </is>
      </c>
    </row>
    <row r="2">
      <c r="A2" s="351" t="inlineStr">
        <is>
          <t>Austria</t>
        </is>
      </c>
      <c r="B2" s="352" t="inlineStr">
        <is>
          <t>Einzelunternehmen</t>
        </is>
      </c>
      <c r="C2" s="352" t="inlineStr">
        <is>
          <t>Owner-operator</t>
        </is>
      </c>
      <c r="D2" s="353" t="inlineStr">
        <is>
          <t>Available</t>
        </is>
      </c>
    </row>
    <row r="3">
      <c r="A3" s="351" t="inlineStr">
        <is>
          <t>Austria</t>
        </is>
      </c>
      <c r="B3" s="352" t="inlineStr">
        <is>
          <t>Einzelunternehmen</t>
        </is>
      </c>
      <c r="C3" s="352" t="inlineStr">
        <is>
          <t>Fleet operator</t>
        </is>
      </c>
      <c r="D3" s="353" t="inlineStr">
        <is>
          <t>Available</t>
        </is>
      </c>
    </row>
    <row r="4">
      <c r="A4" s="351" t="inlineStr">
        <is>
          <t>Austria</t>
        </is>
      </c>
      <c r="B4" s="352" t="inlineStr">
        <is>
          <t>Einzelunternehmen</t>
        </is>
      </c>
      <c r="C4" s="352" t="inlineStr">
        <is>
          <t>Subcontractor</t>
        </is>
      </c>
      <c r="D4" s="353" t="inlineStr">
        <is>
          <t>Available</t>
        </is>
      </c>
    </row>
    <row r="5">
      <c r="A5" s="351" t="inlineStr">
        <is>
          <t>Austria</t>
        </is>
      </c>
      <c r="B5" s="352" t="inlineStr">
        <is>
          <t>Einzelunternehmen</t>
        </is>
      </c>
      <c r="C5" s="352" t="inlineStr">
        <is>
          <t>Mixed</t>
        </is>
      </c>
      <c r="D5" s="353" t="inlineStr">
        <is>
          <t>Available</t>
        </is>
      </c>
    </row>
    <row r="6">
      <c r="A6" s="351" t="inlineStr">
        <is>
          <t>Austria</t>
        </is>
      </c>
      <c r="B6" s="352" t="inlineStr">
        <is>
          <t>Einzelunternehmen</t>
        </is>
      </c>
      <c r="C6" s="352" t="inlineStr">
        <is>
          <t>Carrier with subcontractors</t>
        </is>
      </c>
      <c r="D6" s="353" t="inlineStr">
        <is>
          <t>Available</t>
        </is>
      </c>
    </row>
    <row r="7">
      <c r="A7" s="351" t="inlineStr">
        <is>
          <t>Austria</t>
        </is>
      </c>
      <c r="B7" s="352" t="inlineStr">
        <is>
          <t>GmbH</t>
        </is>
      </c>
      <c r="C7" s="352" t="inlineStr">
        <is>
          <t>Owner-operator</t>
        </is>
      </c>
      <c r="D7" s="353" t="inlineStr">
        <is>
          <t>Available</t>
        </is>
      </c>
    </row>
    <row r="8">
      <c r="A8" s="351" t="inlineStr">
        <is>
          <t>Austria</t>
        </is>
      </c>
      <c r="B8" s="352" t="inlineStr">
        <is>
          <t>GmbH</t>
        </is>
      </c>
      <c r="C8" s="352" t="inlineStr">
        <is>
          <t>Fleet operator</t>
        </is>
      </c>
      <c r="D8" s="353" t="inlineStr">
        <is>
          <t>Available</t>
        </is>
      </c>
    </row>
    <row r="9">
      <c r="A9" s="351" t="inlineStr">
        <is>
          <t>Austria</t>
        </is>
      </c>
      <c r="B9" s="352" t="inlineStr">
        <is>
          <t>GmbH</t>
        </is>
      </c>
      <c r="C9" s="352" t="inlineStr">
        <is>
          <t>Subcontractor</t>
        </is>
      </c>
      <c r="D9" s="353" t="inlineStr">
        <is>
          <t>Available</t>
        </is>
      </c>
    </row>
    <row r="10">
      <c r="A10" s="351" t="inlineStr">
        <is>
          <t>Austria</t>
        </is>
      </c>
      <c r="B10" s="352" t="inlineStr">
        <is>
          <t>GmbH</t>
        </is>
      </c>
      <c r="C10" s="352" t="inlineStr">
        <is>
          <t>Mixed</t>
        </is>
      </c>
      <c r="D10" s="353" t="inlineStr">
        <is>
          <t>Available</t>
        </is>
      </c>
    </row>
    <row r="11">
      <c r="A11" s="351" t="inlineStr">
        <is>
          <t>Austria</t>
        </is>
      </c>
      <c r="B11" s="352" t="inlineStr">
        <is>
          <t>GmbH</t>
        </is>
      </c>
      <c r="C11" s="352" t="inlineStr">
        <is>
          <t>Carrier with subcontractors</t>
        </is>
      </c>
      <c r="D11" s="353" t="inlineStr">
        <is>
          <t>Available</t>
        </is>
      </c>
    </row>
    <row r="12">
      <c r="A12" s="351" t="inlineStr">
        <is>
          <t>Austria</t>
        </is>
      </c>
      <c r="B12" s="352" t="inlineStr">
        <is>
          <t>AG</t>
        </is>
      </c>
      <c r="C12" s="352" t="inlineStr">
        <is>
          <t>Owner-operator</t>
        </is>
      </c>
      <c r="D12" s="353" t="inlineStr">
        <is>
          <t>Available</t>
        </is>
      </c>
    </row>
    <row r="13">
      <c r="A13" s="351" t="inlineStr">
        <is>
          <t>Austria</t>
        </is>
      </c>
      <c r="B13" s="352" t="inlineStr">
        <is>
          <t>AG</t>
        </is>
      </c>
      <c r="C13" s="352" t="inlineStr">
        <is>
          <t>Fleet operator</t>
        </is>
      </c>
      <c r="D13" s="353" t="inlineStr">
        <is>
          <t>Available</t>
        </is>
      </c>
    </row>
    <row r="14">
      <c r="A14" s="351" t="inlineStr">
        <is>
          <t>Austria</t>
        </is>
      </c>
      <c r="B14" s="352" t="inlineStr">
        <is>
          <t>AG</t>
        </is>
      </c>
      <c r="C14" s="352" t="inlineStr">
        <is>
          <t>Subcontractor</t>
        </is>
      </c>
      <c r="D14" s="353" t="inlineStr">
        <is>
          <t>Available</t>
        </is>
      </c>
    </row>
    <row r="15">
      <c r="A15" s="351" t="inlineStr">
        <is>
          <t>Austria</t>
        </is>
      </c>
      <c r="B15" s="352" t="inlineStr">
        <is>
          <t>AG</t>
        </is>
      </c>
      <c r="C15" s="352" t="inlineStr">
        <is>
          <t>Mixed</t>
        </is>
      </c>
      <c r="D15" s="353" t="inlineStr">
        <is>
          <t>Available</t>
        </is>
      </c>
    </row>
    <row r="16">
      <c r="A16" s="351" t="inlineStr">
        <is>
          <t>Austria</t>
        </is>
      </c>
      <c r="B16" s="352" t="inlineStr">
        <is>
          <t>AG</t>
        </is>
      </c>
      <c r="C16" s="352" t="inlineStr">
        <is>
          <t>Carrier with subcontractors</t>
        </is>
      </c>
      <c r="D16" s="353" t="inlineStr">
        <is>
          <t>Available</t>
        </is>
      </c>
    </row>
    <row r="17">
      <c r="A17" s="351" t="inlineStr">
        <is>
          <t>Austria</t>
        </is>
      </c>
      <c r="B17" s="352" t="inlineStr">
        <is>
          <t>Branch / PE</t>
        </is>
      </c>
      <c r="C17" s="352" t="inlineStr">
        <is>
          <t>Owner-operator</t>
        </is>
      </c>
      <c r="D17" s="353" t="inlineStr">
        <is>
          <t>Available</t>
        </is>
      </c>
    </row>
    <row r="18">
      <c r="A18" s="351" t="inlineStr">
        <is>
          <t>Austria</t>
        </is>
      </c>
      <c r="B18" s="352" t="inlineStr">
        <is>
          <t>Branch / PE</t>
        </is>
      </c>
      <c r="C18" s="352" t="inlineStr">
        <is>
          <t>Fleet operator</t>
        </is>
      </c>
      <c r="D18" s="353" t="inlineStr">
        <is>
          <t>Available</t>
        </is>
      </c>
    </row>
    <row r="19">
      <c r="A19" s="351" t="inlineStr">
        <is>
          <t>Austria</t>
        </is>
      </c>
      <c r="B19" s="352" t="inlineStr">
        <is>
          <t>Branch / PE</t>
        </is>
      </c>
      <c r="C19" s="352" t="inlineStr">
        <is>
          <t>Subcontractor</t>
        </is>
      </c>
      <c r="D19" s="353" t="inlineStr">
        <is>
          <t>Available</t>
        </is>
      </c>
    </row>
    <row r="20">
      <c r="A20" s="351" t="inlineStr">
        <is>
          <t>Austria</t>
        </is>
      </c>
      <c r="B20" s="352" t="inlineStr">
        <is>
          <t>Branch / PE</t>
        </is>
      </c>
      <c r="C20" s="352" t="inlineStr">
        <is>
          <t>Mixed</t>
        </is>
      </c>
      <c r="D20" s="353" t="inlineStr">
        <is>
          <t>Available</t>
        </is>
      </c>
    </row>
    <row r="21">
      <c r="A21" s="351" t="inlineStr">
        <is>
          <t>Austria</t>
        </is>
      </c>
      <c r="B21" s="352" t="inlineStr">
        <is>
          <t>Branch / PE</t>
        </is>
      </c>
      <c r="C21" s="352" t="inlineStr">
        <is>
          <t>Carrier with subcontractors</t>
        </is>
      </c>
      <c r="D21" s="353" t="inlineStr">
        <is>
          <t>Available</t>
        </is>
      </c>
    </row>
    <row r="22">
      <c r="A22" s="351" t="inlineStr">
        <is>
          <t>Germany</t>
        </is>
      </c>
      <c r="B22" s="352" t="inlineStr">
        <is>
          <t>Einzelunternehmen</t>
        </is>
      </c>
      <c r="C22" s="352" t="inlineStr">
        <is>
          <t>Owner-operator</t>
        </is>
      </c>
      <c r="D22" s="353" t="inlineStr">
        <is>
          <t>Available</t>
        </is>
      </c>
    </row>
    <row r="23">
      <c r="A23" s="351" t="inlineStr">
        <is>
          <t>Germany</t>
        </is>
      </c>
      <c r="B23" s="352" t="inlineStr">
        <is>
          <t>Einzelunternehmen</t>
        </is>
      </c>
      <c r="C23" s="352" t="inlineStr">
        <is>
          <t>Fleet operator</t>
        </is>
      </c>
      <c r="D23" s="353" t="inlineStr">
        <is>
          <t>Available</t>
        </is>
      </c>
    </row>
    <row r="24">
      <c r="A24" s="351" t="inlineStr">
        <is>
          <t>Germany</t>
        </is>
      </c>
      <c r="B24" s="352" t="inlineStr">
        <is>
          <t>Einzelunternehmen</t>
        </is>
      </c>
      <c r="C24" s="352" t="inlineStr">
        <is>
          <t>Subcontractor</t>
        </is>
      </c>
      <c r="D24" s="353" t="inlineStr">
        <is>
          <t>Available</t>
        </is>
      </c>
    </row>
    <row r="25">
      <c r="A25" s="351" t="inlineStr">
        <is>
          <t>Germany</t>
        </is>
      </c>
      <c r="B25" s="352" t="inlineStr">
        <is>
          <t>Einzelunternehmen</t>
        </is>
      </c>
      <c r="C25" s="352" t="inlineStr">
        <is>
          <t>Mixed</t>
        </is>
      </c>
      <c r="D25" s="353" t="inlineStr">
        <is>
          <t>Available</t>
        </is>
      </c>
    </row>
    <row r="26">
      <c r="A26" s="351" t="inlineStr">
        <is>
          <t>Germany</t>
        </is>
      </c>
      <c r="B26" s="352" t="inlineStr">
        <is>
          <t>Einzelunternehmen</t>
        </is>
      </c>
      <c r="C26" s="352" t="inlineStr">
        <is>
          <t>Carrier with subcontractors</t>
        </is>
      </c>
      <c r="D26" s="353" t="inlineStr">
        <is>
          <t>Available</t>
        </is>
      </c>
    </row>
    <row r="27">
      <c r="A27" s="351" t="inlineStr">
        <is>
          <t>Germany</t>
        </is>
      </c>
      <c r="B27" s="352" t="inlineStr">
        <is>
          <t>UG</t>
        </is>
      </c>
      <c r="C27" s="352" t="inlineStr">
        <is>
          <t>Owner-operator</t>
        </is>
      </c>
      <c r="D27" s="353" t="inlineStr">
        <is>
          <t>Available</t>
        </is>
      </c>
    </row>
    <row r="28">
      <c r="A28" s="351" t="inlineStr">
        <is>
          <t>Germany</t>
        </is>
      </c>
      <c r="B28" s="352" t="inlineStr">
        <is>
          <t>UG</t>
        </is>
      </c>
      <c r="C28" s="352" t="inlineStr">
        <is>
          <t>Fleet operator</t>
        </is>
      </c>
      <c r="D28" s="353" t="inlineStr">
        <is>
          <t>Available</t>
        </is>
      </c>
    </row>
    <row r="29">
      <c r="A29" s="351" t="inlineStr">
        <is>
          <t>Germany</t>
        </is>
      </c>
      <c r="B29" s="352" t="inlineStr">
        <is>
          <t>UG</t>
        </is>
      </c>
      <c r="C29" s="352" t="inlineStr">
        <is>
          <t>Subcontractor</t>
        </is>
      </c>
      <c r="D29" s="353" t="inlineStr">
        <is>
          <t>Available</t>
        </is>
      </c>
    </row>
    <row r="30">
      <c r="A30" s="351" t="inlineStr">
        <is>
          <t>Germany</t>
        </is>
      </c>
      <c r="B30" s="352" t="inlineStr">
        <is>
          <t>UG</t>
        </is>
      </c>
      <c r="C30" s="352" t="inlineStr">
        <is>
          <t>Mixed</t>
        </is>
      </c>
      <c r="D30" s="353" t="inlineStr">
        <is>
          <t>Available</t>
        </is>
      </c>
    </row>
    <row r="31">
      <c r="A31" s="351" t="inlineStr">
        <is>
          <t>Germany</t>
        </is>
      </c>
      <c r="B31" s="352" t="inlineStr">
        <is>
          <t>UG</t>
        </is>
      </c>
      <c r="C31" s="352" t="inlineStr">
        <is>
          <t>Carrier with subcontractors</t>
        </is>
      </c>
      <c r="D31" s="353" t="inlineStr">
        <is>
          <t>Available</t>
        </is>
      </c>
    </row>
    <row r="32">
      <c r="A32" s="351" t="inlineStr">
        <is>
          <t>Germany</t>
        </is>
      </c>
      <c r="B32" s="352" t="inlineStr">
        <is>
          <t>GmbH</t>
        </is>
      </c>
      <c r="C32" s="352" t="inlineStr">
        <is>
          <t>Owner-operator</t>
        </is>
      </c>
      <c r="D32" s="353" t="inlineStr">
        <is>
          <t>Available</t>
        </is>
      </c>
    </row>
    <row r="33">
      <c r="A33" s="351" t="inlineStr">
        <is>
          <t>Germany</t>
        </is>
      </c>
      <c r="B33" s="352" t="inlineStr">
        <is>
          <t>GmbH</t>
        </is>
      </c>
      <c r="C33" s="352" t="inlineStr">
        <is>
          <t>Fleet operator</t>
        </is>
      </c>
      <c r="D33" s="353" t="inlineStr">
        <is>
          <t>Available</t>
        </is>
      </c>
    </row>
    <row r="34">
      <c r="A34" s="351" t="inlineStr">
        <is>
          <t>Germany</t>
        </is>
      </c>
      <c r="B34" s="352" t="inlineStr">
        <is>
          <t>GmbH</t>
        </is>
      </c>
      <c r="C34" s="352" t="inlineStr">
        <is>
          <t>Subcontractor</t>
        </is>
      </c>
      <c r="D34" s="353" t="inlineStr">
        <is>
          <t>Available</t>
        </is>
      </c>
    </row>
    <row r="35">
      <c r="A35" s="351" t="inlineStr">
        <is>
          <t>Germany</t>
        </is>
      </c>
      <c r="B35" s="352" t="inlineStr">
        <is>
          <t>GmbH</t>
        </is>
      </c>
      <c r="C35" s="352" t="inlineStr">
        <is>
          <t>Mixed</t>
        </is>
      </c>
      <c r="D35" s="353" t="inlineStr">
        <is>
          <t>Available</t>
        </is>
      </c>
    </row>
    <row r="36">
      <c r="A36" s="351" t="inlineStr">
        <is>
          <t>Germany</t>
        </is>
      </c>
      <c r="B36" s="352" t="inlineStr">
        <is>
          <t>GmbH</t>
        </is>
      </c>
      <c r="C36" s="352" t="inlineStr">
        <is>
          <t>Carrier with subcontractors</t>
        </is>
      </c>
      <c r="D36" s="353" t="inlineStr">
        <is>
          <t>Available</t>
        </is>
      </c>
    </row>
    <row r="37">
      <c r="A37" s="351" t="inlineStr">
        <is>
          <t>Germany</t>
        </is>
      </c>
      <c r="B37" s="352" t="inlineStr">
        <is>
          <t>AG</t>
        </is>
      </c>
      <c r="C37" s="352" t="inlineStr">
        <is>
          <t>Owner-operator</t>
        </is>
      </c>
      <c r="D37" s="353" t="inlineStr">
        <is>
          <t>Available</t>
        </is>
      </c>
    </row>
    <row r="38">
      <c r="A38" s="351" t="inlineStr">
        <is>
          <t>Germany</t>
        </is>
      </c>
      <c r="B38" s="352" t="inlineStr">
        <is>
          <t>AG</t>
        </is>
      </c>
      <c r="C38" s="352" t="inlineStr">
        <is>
          <t>Fleet operator</t>
        </is>
      </c>
      <c r="D38" s="353" t="inlineStr">
        <is>
          <t>Available</t>
        </is>
      </c>
    </row>
    <row r="39">
      <c r="A39" s="351" t="inlineStr">
        <is>
          <t>Germany</t>
        </is>
      </c>
      <c r="B39" s="352" t="inlineStr">
        <is>
          <t>AG</t>
        </is>
      </c>
      <c r="C39" s="352" t="inlineStr">
        <is>
          <t>Subcontractor</t>
        </is>
      </c>
      <c r="D39" s="353" t="inlineStr">
        <is>
          <t>Available</t>
        </is>
      </c>
    </row>
    <row r="40">
      <c r="A40" s="351" t="inlineStr">
        <is>
          <t>Germany</t>
        </is>
      </c>
      <c r="B40" s="352" t="inlineStr">
        <is>
          <t>AG</t>
        </is>
      </c>
      <c r="C40" s="352" t="inlineStr">
        <is>
          <t>Mixed</t>
        </is>
      </c>
      <c r="D40" s="353" t="inlineStr">
        <is>
          <t>Available</t>
        </is>
      </c>
    </row>
    <row r="41">
      <c r="A41" s="351" t="inlineStr">
        <is>
          <t>Germany</t>
        </is>
      </c>
      <c r="B41" s="352" t="inlineStr">
        <is>
          <t>AG</t>
        </is>
      </c>
      <c r="C41" s="352" t="inlineStr">
        <is>
          <t>Carrier with subcontractors</t>
        </is>
      </c>
      <c r="D41" s="353" t="inlineStr">
        <is>
          <t>Available</t>
        </is>
      </c>
    </row>
    <row r="42">
      <c r="A42" s="351" t="inlineStr">
        <is>
          <t>Germany</t>
        </is>
      </c>
      <c r="B42" s="352" t="inlineStr">
        <is>
          <t>Branch / PE</t>
        </is>
      </c>
      <c r="C42" s="352" t="inlineStr">
        <is>
          <t>Owner-operator</t>
        </is>
      </c>
      <c r="D42" s="353" t="inlineStr">
        <is>
          <t>Available</t>
        </is>
      </c>
    </row>
    <row r="43">
      <c r="A43" s="351" t="inlineStr">
        <is>
          <t>Germany</t>
        </is>
      </c>
      <c r="B43" s="352" t="inlineStr">
        <is>
          <t>Branch / PE</t>
        </is>
      </c>
      <c r="C43" s="352" t="inlineStr">
        <is>
          <t>Fleet operator</t>
        </is>
      </c>
      <c r="D43" s="353" t="inlineStr">
        <is>
          <t>Available</t>
        </is>
      </c>
    </row>
    <row r="44">
      <c r="A44" s="351" t="inlineStr">
        <is>
          <t>Germany</t>
        </is>
      </c>
      <c r="B44" s="352" t="inlineStr">
        <is>
          <t>Branch / PE</t>
        </is>
      </c>
      <c r="C44" s="352" t="inlineStr">
        <is>
          <t>Subcontractor</t>
        </is>
      </c>
      <c r="D44" s="353" t="inlineStr">
        <is>
          <t>Available</t>
        </is>
      </c>
    </row>
    <row r="45">
      <c r="A45" s="351" t="inlineStr">
        <is>
          <t>Germany</t>
        </is>
      </c>
      <c r="B45" s="352" t="inlineStr">
        <is>
          <t>Branch / PE</t>
        </is>
      </c>
      <c r="C45" s="352" t="inlineStr">
        <is>
          <t>Mixed</t>
        </is>
      </c>
      <c r="D45" s="353" t="inlineStr">
        <is>
          <t>Available</t>
        </is>
      </c>
    </row>
    <row r="46">
      <c r="A46" s="351" t="inlineStr">
        <is>
          <t>Germany</t>
        </is>
      </c>
      <c r="B46" s="352" t="inlineStr">
        <is>
          <t>Branch / PE</t>
        </is>
      </c>
      <c r="C46" s="352" t="inlineStr">
        <is>
          <t>Carrier with subcontractors</t>
        </is>
      </c>
      <c r="D46" s="353" t="inlineStr">
        <is>
          <t>Available</t>
        </is>
      </c>
    </row>
    <row r="47">
      <c r="A47" s="351" t="inlineStr">
        <is>
          <t>Romania</t>
        </is>
      </c>
      <c r="B47" s="352" t="inlineStr">
        <is>
          <t>PFA / II</t>
        </is>
      </c>
      <c r="C47" s="352" t="inlineStr">
        <is>
          <t>Owner-operator</t>
        </is>
      </c>
      <c r="D47" s="353" t="inlineStr">
        <is>
          <t>Available</t>
        </is>
      </c>
    </row>
    <row r="48">
      <c r="A48" s="351" t="inlineStr">
        <is>
          <t>Romania</t>
        </is>
      </c>
      <c r="B48" s="352" t="inlineStr">
        <is>
          <t>PFA / II</t>
        </is>
      </c>
      <c r="C48" s="352" t="inlineStr">
        <is>
          <t>Fleet operator</t>
        </is>
      </c>
      <c r="D48" s="353" t="inlineStr">
        <is>
          <t>Available</t>
        </is>
      </c>
    </row>
    <row r="49">
      <c r="A49" s="351" t="inlineStr">
        <is>
          <t>Romania</t>
        </is>
      </c>
      <c r="B49" s="352" t="inlineStr">
        <is>
          <t>PFA / II</t>
        </is>
      </c>
      <c r="C49" s="352" t="inlineStr">
        <is>
          <t>Subcontractor</t>
        </is>
      </c>
      <c r="D49" s="353" t="inlineStr">
        <is>
          <t>Available</t>
        </is>
      </c>
    </row>
    <row r="50">
      <c r="A50" s="351" t="inlineStr">
        <is>
          <t>Romania</t>
        </is>
      </c>
      <c r="B50" s="352" t="inlineStr">
        <is>
          <t>PFA / II</t>
        </is>
      </c>
      <c r="C50" s="352" t="inlineStr">
        <is>
          <t>Mixed</t>
        </is>
      </c>
      <c r="D50" s="353" t="inlineStr">
        <is>
          <t>Available</t>
        </is>
      </c>
    </row>
    <row r="51">
      <c r="A51" s="351" t="inlineStr">
        <is>
          <t>Romania</t>
        </is>
      </c>
      <c r="B51" s="352" t="inlineStr">
        <is>
          <t>PFA / II</t>
        </is>
      </c>
      <c r="C51" s="352" t="inlineStr">
        <is>
          <t>Carrier with subcontractors</t>
        </is>
      </c>
      <c r="D51" s="353" t="inlineStr">
        <is>
          <t>Available</t>
        </is>
      </c>
    </row>
    <row r="52">
      <c r="A52" s="351" t="inlineStr">
        <is>
          <t>Romania</t>
        </is>
      </c>
      <c r="B52" s="352" t="inlineStr">
        <is>
          <t>SRL</t>
        </is>
      </c>
      <c r="C52" s="352" t="inlineStr">
        <is>
          <t>Owner-operator</t>
        </is>
      </c>
      <c r="D52" s="353" t="inlineStr">
        <is>
          <t>Available</t>
        </is>
      </c>
    </row>
    <row r="53">
      <c r="A53" s="351" t="inlineStr">
        <is>
          <t>Romania</t>
        </is>
      </c>
      <c r="B53" s="352" t="inlineStr">
        <is>
          <t>SRL</t>
        </is>
      </c>
      <c r="C53" s="352" t="inlineStr">
        <is>
          <t>Fleet operator</t>
        </is>
      </c>
      <c r="D53" s="353" t="inlineStr">
        <is>
          <t>Available</t>
        </is>
      </c>
    </row>
    <row r="54">
      <c r="A54" s="351" t="inlineStr">
        <is>
          <t>Romania</t>
        </is>
      </c>
      <c r="B54" s="352" t="inlineStr">
        <is>
          <t>SRL</t>
        </is>
      </c>
      <c r="C54" s="352" t="inlineStr">
        <is>
          <t>Subcontractor</t>
        </is>
      </c>
      <c r="D54" s="353" t="inlineStr">
        <is>
          <t>Available</t>
        </is>
      </c>
    </row>
    <row r="55">
      <c r="A55" s="351" t="inlineStr">
        <is>
          <t>Romania</t>
        </is>
      </c>
      <c r="B55" s="352" t="inlineStr">
        <is>
          <t>SRL</t>
        </is>
      </c>
      <c r="C55" s="352" t="inlineStr">
        <is>
          <t>Mixed</t>
        </is>
      </c>
      <c r="D55" s="353" t="inlineStr">
        <is>
          <t>Available</t>
        </is>
      </c>
    </row>
    <row r="56">
      <c r="A56" s="351" t="inlineStr">
        <is>
          <t>Romania</t>
        </is>
      </c>
      <c r="B56" s="352" t="inlineStr">
        <is>
          <t>SRL</t>
        </is>
      </c>
      <c r="C56" s="352" t="inlineStr">
        <is>
          <t>Carrier with subcontractors</t>
        </is>
      </c>
      <c r="D56" s="353" t="inlineStr">
        <is>
          <t>Available</t>
        </is>
      </c>
    </row>
    <row r="57">
      <c r="A57" s="351" t="inlineStr">
        <is>
          <t>Romania</t>
        </is>
      </c>
      <c r="B57" s="352" t="inlineStr">
        <is>
          <t>SA</t>
        </is>
      </c>
      <c r="C57" s="352" t="inlineStr">
        <is>
          <t>Owner-operator</t>
        </is>
      </c>
      <c r="D57" s="353" t="inlineStr">
        <is>
          <t>Available</t>
        </is>
      </c>
    </row>
    <row r="58">
      <c r="A58" s="351" t="inlineStr">
        <is>
          <t>Romania</t>
        </is>
      </c>
      <c r="B58" s="352" t="inlineStr">
        <is>
          <t>SA</t>
        </is>
      </c>
      <c r="C58" s="352" t="inlineStr">
        <is>
          <t>Fleet operator</t>
        </is>
      </c>
      <c r="D58" s="353" t="inlineStr">
        <is>
          <t>Available</t>
        </is>
      </c>
    </row>
    <row r="59">
      <c r="A59" s="351" t="inlineStr">
        <is>
          <t>Romania</t>
        </is>
      </c>
      <c r="B59" s="352" t="inlineStr">
        <is>
          <t>SA</t>
        </is>
      </c>
      <c r="C59" s="352" t="inlineStr">
        <is>
          <t>Subcontractor</t>
        </is>
      </c>
      <c r="D59" s="353" t="inlineStr">
        <is>
          <t>Available</t>
        </is>
      </c>
    </row>
    <row r="60">
      <c r="A60" s="351" t="inlineStr">
        <is>
          <t>Romania</t>
        </is>
      </c>
      <c r="B60" s="352" t="inlineStr">
        <is>
          <t>SA</t>
        </is>
      </c>
      <c r="C60" s="352" t="inlineStr">
        <is>
          <t>Mixed</t>
        </is>
      </c>
      <c r="D60" s="353" t="inlineStr">
        <is>
          <t>Available</t>
        </is>
      </c>
    </row>
    <row r="61">
      <c r="A61" s="351" t="inlineStr">
        <is>
          <t>Romania</t>
        </is>
      </c>
      <c r="B61" s="352" t="inlineStr">
        <is>
          <t>SA</t>
        </is>
      </c>
      <c r="C61" s="352" t="inlineStr">
        <is>
          <t>Carrier with subcontractors</t>
        </is>
      </c>
      <c r="D61" s="353" t="inlineStr">
        <is>
          <t>Available</t>
        </is>
      </c>
    </row>
    <row r="62">
      <c r="A62" s="351" t="inlineStr">
        <is>
          <t>Romania</t>
        </is>
      </c>
      <c r="B62" s="352" t="inlineStr">
        <is>
          <t>Branch / PE</t>
        </is>
      </c>
      <c r="C62" s="352" t="inlineStr">
        <is>
          <t>Owner-operator</t>
        </is>
      </c>
      <c r="D62" s="353" t="inlineStr">
        <is>
          <t>Available</t>
        </is>
      </c>
    </row>
    <row r="63">
      <c r="A63" s="351" t="inlineStr">
        <is>
          <t>Romania</t>
        </is>
      </c>
      <c r="B63" s="352" t="inlineStr">
        <is>
          <t>Branch / PE</t>
        </is>
      </c>
      <c r="C63" s="352" t="inlineStr">
        <is>
          <t>Fleet operator</t>
        </is>
      </c>
      <c r="D63" s="353" t="inlineStr">
        <is>
          <t>Available</t>
        </is>
      </c>
    </row>
    <row r="64">
      <c r="A64" s="351" t="inlineStr">
        <is>
          <t>Romania</t>
        </is>
      </c>
      <c r="B64" s="352" t="inlineStr">
        <is>
          <t>Branch / PE</t>
        </is>
      </c>
      <c r="C64" s="352" t="inlineStr">
        <is>
          <t>Subcontractor</t>
        </is>
      </c>
      <c r="D64" s="353" t="inlineStr">
        <is>
          <t>Available</t>
        </is>
      </c>
    </row>
    <row r="65">
      <c r="A65" s="351" t="inlineStr">
        <is>
          <t>Romania</t>
        </is>
      </c>
      <c r="B65" s="352" t="inlineStr">
        <is>
          <t>Branch / PE</t>
        </is>
      </c>
      <c r="C65" s="352" t="inlineStr">
        <is>
          <t>Mixed</t>
        </is>
      </c>
      <c r="D65" s="353" t="inlineStr">
        <is>
          <t>Available</t>
        </is>
      </c>
    </row>
    <row r="66">
      <c r="A66" s="351" t="inlineStr">
        <is>
          <t>Romania</t>
        </is>
      </c>
      <c r="B66" s="352" t="inlineStr">
        <is>
          <t>Branch / PE</t>
        </is>
      </c>
      <c r="C66" s="352" t="inlineStr">
        <is>
          <t>Carrier with subcontractors</t>
        </is>
      </c>
      <c r="D66" s="353" t="inlineStr">
        <is>
          <t>Available</t>
        </is>
      </c>
    </row>
    <row r="67">
      <c r="A67" s="351" t="inlineStr">
        <is>
          <t>Hungary</t>
        </is>
      </c>
      <c r="B67" s="352" t="inlineStr">
        <is>
          <t>Egyéni vállalkozó</t>
        </is>
      </c>
      <c r="C67" s="352" t="inlineStr">
        <is>
          <t>Owner-operator</t>
        </is>
      </c>
      <c r="D67" s="353" t="inlineStr">
        <is>
          <t>Available</t>
        </is>
      </c>
    </row>
    <row r="68">
      <c r="A68" s="351" t="inlineStr">
        <is>
          <t>Hungary</t>
        </is>
      </c>
      <c r="B68" s="352" t="inlineStr">
        <is>
          <t>Egyéni vállalkozó</t>
        </is>
      </c>
      <c r="C68" s="352" t="inlineStr">
        <is>
          <t>Fleet operator</t>
        </is>
      </c>
      <c r="D68" s="353" t="inlineStr">
        <is>
          <t>Available</t>
        </is>
      </c>
    </row>
    <row r="69">
      <c r="A69" s="351" t="inlineStr">
        <is>
          <t>Hungary</t>
        </is>
      </c>
      <c r="B69" s="352" t="inlineStr">
        <is>
          <t>Egyéni vállalkozó</t>
        </is>
      </c>
      <c r="C69" s="352" t="inlineStr">
        <is>
          <t>Subcontractor</t>
        </is>
      </c>
      <c r="D69" s="353" t="inlineStr">
        <is>
          <t>Available</t>
        </is>
      </c>
    </row>
    <row r="70">
      <c r="A70" s="351" t="inlineStr">
        <is>
          <t>Hungary</t>
        </is>
      </c>
      <c r="B70" s="352" t="inlineStr">
        <is>
          <t>Egyéni vállalkozó</t>
        </is>
      </c>
      <c r="C70" s="352" t="inlineStr">
        <is>
          <t>Mixed</t>
        </is>
      </c>
      <c r="D70" s="353" t="inlineStr">
        <is>
          <t>Available</t>
        </is>
      </c>
    </row>
    <row r="71">
      <c r="A71" s="351" t="inlineStr">
        <is>
          <t>Hungary</t>
        </is>
      </c>
      <c r="B71" s="352" t="inlineStr">
        <is>
          <t>Egyéni vállalkozó</t>
        </is>
      </c>
      <c r="C71" s="352" t="inlineStr">
        <is>
          <t>Carrier with subcontractors</t>
        </is>
      </c>
      <c r="D71" s="353" t="inlineStr">
        <is>
          <t>Available</t>
        </is>
      </c>
    </row>
    <row r="72">
      <c r="A72" s="351" t="inlineStr">
        <is>
          <t>Hungary</t>
        </is>
      </c>
      <c r="B72" s="352" t="inlineStr">
        <is>
          <t>Kft.</t>
        </is>
      </c>
      <c r="C72" s="352" t="inlineStr">
        <is>
          <t>Owner-operator</t>
        </is>
      </c>
      <c r="D72" s="353" t="inlineStr">
        <is>
          <t>Available</t>
        </is>
      </c>
    </row>
    <row r="73">
      <c r="A73" s="351" t="inlineStr">
        <is>
          <t>Hungary</t>
        </is>
      </c>
      <c r="B73" s="352" t="inlineStr">
        <is>
          <t>Kft.</t>
        </is>
      </c>
      <c r="C73" s="352" t="inlineStr">
        <is>
          <t>Fleet operator</t>
        </is>
      </c>
      <c r="D73" s="353" t="inlineStr">
        <is>
          <t>Available</t>
        </is>
      </c>
    </row>
    <row r="74">
      <c r="A74" s="351" t="inlineStr">
        <is>
          <t>Hungary</t>
        </is>
      </c>
      <c r="B74" s="352" t="inlineStr">
        <is>
          <t>Kft.</t>
        </is>
      </c>
      <c r="C74" s="352" t="inlineStr">
        <is>
          <t>Subcontractor</t>
        </is>
      </c>
      <c r="D74" s="353" t="inlineStr">
        <is>
          <t>Available</t>
        </is>
      </c>
    </row>
    <row r="75">
      <c r="A75" s="351" t="inlineStr">
        <is>
          <t>Hungary</t>
        </is>
      </c>
      <c r="B75" s="352" t="inlineStr">
        <is>
          <t>Kft.</t>
        </is>
      </c>
      <c r="C75" s="352" t="inlineStr">
        <is>
          <t>Mixed</t>
        </is>
      </c>
      <c r="D75" s="353" t="inlineStr">
        <is>
          <t>Available</t>
        </is>
      </c>
    </row>
    <row r="76">
      <c r="A76" s="351" t="inlineStr">
        <is>
          <t>Hungary</t>
        </is>
      </c>
      <c r="B76" s="352" t="inlineStr">
        <is>
          <t>Kft.</t>
        </is>
      </c>
      <c r="C76" s="352" t="inlineStr">
        <is>
          <t>Carrier with subcontractors</t>
        </is>
      </c>
      <c r="D76" s="353" t="inlineStr">
        <is>
          <t>Available</t>
        </is>
      </c>
    </row>
    <row r="77">
      <c r="A77" s="351" t="inlineStr">
        <is>
          <t>Hungary</t>
        </is>
      </c>
      <c r="B77" s="352" t="inlineStr">
        <is>
          <t>Zrt. / Nyrt.</t>
        </is>
      </c>
      <c r="C77" s="352" t="inlineStr">
        <is>
          <t>Owner-operator</t>
        </is>
      </c>
      <c r="D77" s="353" t="inlineStr">
        <is>
          <t>Available</t>
        </is>
      </c>
    </row>
    <row r="78">
      <c r="A78" s="351" t="inlineStr">
        <is>
          <t>Hungary</t>
        </is>
      </c>
      <c r="B78" s="352" t="inlineStr">
        <is>
          <t>Zrt. / Nyrt.</t>
        </is>
      </c>
      <c r="C78" s="352" t="inlineStr">
        <is>
          <t>Fleet operator</t>
        </is>
      </c>
      <c r="D78" s="353" t="inlineStr">
        <is>
          <t>Available</t>
        </is>
      </c>
    </row>
    <row r="79">
      <c r="A79" s="351" t="inlineStr">
        <is>
          <t>Hungary</t>
        </is>
      </c>
      <c r="B79" s="352" t="inlineStr">
        <is>
          <t>Zrt. / Nyrt.</t>
        </is>
      </c>
      <c r="C79" s="352" t="inlineStr">
        <is>
          <t>Subcontractor</t>
        </is>
      </c>
      <c r="D79" s="353" t="inlineStr">
        <is>
          <t>Available</t>
        </is>
      </c>
    </row>
    <row r="80">
      <c r="A80" s="351" t="inlineStr">
        <is>
          <t>Hungary</t>
        </is>
      </c>
      <c r="B80" s="352" t="inlineStr">
        <is>
          <t>Zrt. / Nyrt.</t>
        </is>
      </c>
      <c r="C80" s="352" t="inlineStr">
        <is>
          <t>Mixed</t>
        </is>
      </c>
      <c r="D80" s="353" t="inlineStr">
        <is>
          <t>Available</t>
        </is>
      </c>
    </row>
    <row r="81">
      <c r="A81" s="351" t="inlineStr">
        <is>
          <t>Hungary</t>
        </is>
      </c>
      <c r="B81" s="352" t="inlineStr">
        <is>
          <t>Zrt. / Nyrt.</t>
        </is>
      </c>
      <c r="C81" s="352" t="inlineStr">
        <is>
          <t>Carrier with subcontractors</t>
        </is>
      </c>
      <c r="D81" s="353" t="inlineStr">
        <is>
          <t>Available</t>
        </is>
      </c>
    </row>
    <row r="82">
      <c r="A82" s="351" t="inlineStr">
        <is>
          <t>Hungary</t>
        </is>
      </c>
      <c r="B82" s="352" t="inlineStr">
        <is>
          <t>Branch / PE</t>
        </is>
      </c>
      <c r="C82" s="352" t="inlineStr">
        <is>
          <t>Owner-operator</t>
        </is>
      </c>
      <c r="D82" s="353" t="inlineStr">
        <is>
          <t>Available</t>
        </is>
      </c>
    </row>
    <row r="83">
      <c r="A83" s="351" t="inlineStr">
        <is>
          <t>Hungary</t>
        </is>
      </c>
      <c r="B83" s="352" t="inlineStr">
        <is>
          <t>Branch / PE</t>
        </is>
      </c>
      <c r="C83" s="352" t="inlineStr">
        <is>
          <t>Fleet operator</t>
        </is>
      </c>
      <c r="D83" s="353" t="inlineStr">
        <is>
          <t>Available</t>
        </is>
      </c>
    </row>
    <row r="84">
      <c r="A84" s="351" t="inlineStr">
        <is>
          <t>Hungary</t>
        </is>
      </c>
      <c r="B84" s="352" t="inlineStr">
        <is>
          <t>Branch / PE</t>
        </is>
      </c>
      <c r="C84" s="352" t="inlineStr">
        <is>
          <t>Subcontractor</t>
        </is>
      </c>
      <c r="D84" s="353" t="inlineStr">
        <is>
          <t>Available</t>
        </is>
      </c>
    </row>
    <row r="85">
      <c r="A85" s="351" t="inlineStr">
        <is>
          <t>Hungary</t>
        </is>
      </c>
      <c r="B85" s="352" t="inlineStr">
        <is>
          <t>Branch / PE</t>
        </is>
      </c>
      <c r="C85" s="352" t="inlineStr">
        <is>
          <t>Mixed</t>
        </is>
      </c>
      <c r="D85" s="353" t="inlineStr">
        <is>
          <t>Available</t>
        </is>
      </c>
    </row>
    <row r="86">
      <c r="A86" s="351" t="inlineStr">
        <is>
          <t>Hungary</t>
        </is>
      </c>
      <c r="B86" s="352" t="inlineStr">
        <is>
          <t>Branch / PE</t>
        </is>
      </c>
      <c r="C86" s="352" t="inlineStr">
        <is>
          <t>Carrier with subcontractors</t>
        </is>
      </c>
      <c r="D86" s="353" t="inlineStr">
        <is>
          <t>Available</t>
        </is>
      </c>
    </row>
    <row r="87">
      <c r="A87" s="351" t="inlineStr">
        <is>
          <t>Bulgaria</t>
        </is>
      </c>
      <c r="B87" s="352" t="inlineStr">
        <is>
          <t>ET</t>
        </is>
      </c>
      <c r="C87" s="352" t="inlineStr">
        <is>
          <t>Owner-operator</t>
        </is>
      </c>
      <c r="D87" s="353" t="inlineStr">
        <is>
          <t>Available</t>
        </is>
      </c>
    </row>
    <row r="88">
      <c r="A88" s="351" t="inlineStr">
        <is>
          <t>Bulgaria</t>
        </is>
      </c>
      <c r="B88" s="352" t="inlineStr">
        <is>
          <t>ET</t>
        </is>
      </c>
      <c r="C88" s="352" t="inlineStr">
        <is>
          <t>Fleet operator</t>
        </is>
      </c>
      <c r="D88" s="353" t="inlineStr">
        <is>
          <t>Available</t>
        </is>
      </c>
    </row>
    <row r="89">
      <c r="A89" s="351" t="inlineStr">
        <is>
          <t>Bulgaria</t>
        </is>
      </c>
      <c r="B89" s="352" t="inlineStr">
        <is>
          <t>ET</t>
        </is>
      </c>
      <c r="C89" s="352" t="inlineStr">
        <is>
          <t>Subcontractor</t>
        </is>
      </c>
      <c r="D89" s="353" t="inlineStr">
        <is>
          <t>Available</t>
        </is>
      </c>
    </row>
    <row r="90">
      <c r="A90" s="351" t="inlineStr">
        <is>
          <t>Bulgaria</t>
        </is>
      </c>
      <c r="B90" s="352" t="inlineStr">
        <is>
          <t>ET</t>
        </is>
      </c>
      <c r="C90" s="352" t="inlineStr">
        <is>
          <t>Mixed</t>
        </is>
      </c>
      <c r="D90" s="353" t="inlineStr">
        <is>
          <t>Available</t>
        </is>
      </c>
    </row>
    <row r="91">
      <c r="A91" s="351" t="inlineStr">
        <is>
          <t>Bulgaria</t>
        </is>
      </c>
      <c r="B91" s="352" t="inlineStr">
        <is>
          <t>ET</t>
        </is>
      </c>
      <c r="C91" s="352" t="inlineStr">
        <is>
          <t>Carrier with subcontractors</t>
        </is>
      </c>
      <c r="D91" s="353" t="inlineStr">
        <is>
          <t>Available</t>
        </is>
      </c>
    </row>
    <row r="92">
      <c r="A92" s="351" t="inlineStr">
        <is>
          <t>Bulgaria</t>
        </is>
      </c>
      <c r="B92" s="352" t="inlineStr">
        <is>
          <t>EOOD/OOD</t>
        </is>
      </c>
      <c r="C92" s="352" t="inlineStr">
        <is>
          <t>Owner-operator</t>
        </is>
      </c>
      <c r="D92" s="353" t="inlineStr">
        <is>
          <t>Available</t>
        </is>
      </c>
    </row>
    <row r="93">
      <c r="A93" s="351" t="inlineStr">
        <is>
          <t>Bulgaria</t>
        </is>
      </c>
      <c r="B93" s="352" t="inlineStr">
        <is>
          <t>EOOD/OOD</t>
        </is>
      </c>
      <c r="C93" s="352" t="inlineStr">
        <is>
          <t>Fleet operator</t>
        </is>
      </c>
      <c r="D93" s="353" t="inlineStr">
        <is>
          <t>Available</t>
        </is>
      </c>
    </row>
    <row r="94">
      <c r="A94" s="351" t="inlineStr">
        <is>
          <t>Bulgaria</t>
        </is>
      </c>
      <c r="B94" s="352" t="inlineStr">
        <is>
          <t>EOOD/OOD</t>
        </is>
      </c>
      <c r="C94" s="352" t="inlineStr">
        <is>
          <t>Subcontractor</t>
        </is>
      </c>
      <c r="D94" s="353" t="inlineStr">
        <is>
          <t>Available</t>
        </is>
      </c>
    </row>
    <row r="95">
      <c r="A95" s="351" t="inlineStr">
        <is>
          <t>Bulgaria</t>
        </is>
      </c>
      <c r="B95" s="352" t="inlineStr">
        <is>
          <t>EOOD/OOD</t>
        </is>
      </c>
      <c r="C95" s="352" t="inlineStr">
        <is>
          <t>Mixed</t>
        </is>
      </c>
      <c r="D95" s="353" t="inlineStr">
        <is>
          <t>Available</t>
        </is>
      </c>
    </row>
    <row r="96">
      <c r="A96" s="351" t="inlineStr">
        <is>
          <t>Bulgaria</t>
        </is>
      </c>
      <c r="B96" s="352" t="inlineStr">
        <is>
          <t>EOOD/OOD</t>
        </is>
      </c>
      <c r="C96" s="352" t="inlineStr">
        <is>
          <t>Carrier with subcontractors</t>
        </is>
      </c>
      <c r="D96" s="353" t="inlineStr">
        <is>
          <t>Available</t>
        </is>
      </c>
    </row>
    <row r="97">
      <c r="A97" s="351" t="inlineStr">
        <is>
          <t>Bulgaria</t>
        </is>
      </c>
      <c r="B97" s="352" t="inlineStr">
        <is>
          <t>AD</t>
        </is>
      </c>
      <c r="C97" s="352" t="inlineStr">
        <is>
          <t>Owner-operator</t>
        </is>
      </c>
      <c r="D97" s="353" t="inlineStr">
        <is>
          <t>Available</t>
        </is>
      </c>
    </row>
    <row r="98">
      <c r="A98" s="351" t="inlineStr">
        <is>
          <t>Bulgaria</t>
        </is>
      </c>
      <c r="B98" s="352" t="inlineStr">
        <is>
          <t>AD</t>
        </is>
      </c>
      <c r="C98" s="352" t="inlineStr">
        <is>
          <t>Fleet operator</t>
        </is>
      </c>
      <c r="D98" s="353" t="inlineStr">
        <is>
          <t>Available</t>
        </is>
      </c>
    </row>
    <row r="99">
      <c r="A99" s="351" t="inlineStr">
        <is>
          <t>Bulgaria</t>
        </is>
      </c>
      <c r="B99" s="352" t="inlineStr">
        <is>
          <t>AD</t>
        </is>
      </c>
      <c r="C99" s="352" t="inlineStr">
        <is>
          <t>Subcontractor</t>
        </is>
      </c>
      <c r="D99" s="353" t="inlineStr">
        <is>
          <t>Available</t>
        </is>
      </c>
    </row>
    <row r="100">
      <c r="A100" s="351" t="inlineStr">
        <is>
          <t>Bulgaria</t>
        </is>
      </c>
      <c r="B100" s="352" t="inlineStr">
        <is>
          <t>AD</t>
        </is>
      </c>
      <c r="C100" s="352" t="inlineStr">
        <is>
          <t>Mixed</t>
        </is>
      </c>
      <c r="D100" s="353" t="inlineStr">
        <is>
          <t>Available</t>
        </is>
      </c>
    </row>
    <row r="101">
      <c r="A101" s="351" t="inlineStr">
        <is>
          <t>Bulgaria</t>
        </is>
      </c>
      <c r="B101" s="352" t="inlineStr">
        <is>
          <t>AD</t>
        </is>
      </c>
      <c r="C101" s="352" t="inlineStr">
        <is>
          <t>Carrier with subcontractors</t>
        </is>
      </c>
      <c r="D101" s="353" t="inlineStr">
        <is>
          <t>Available</t>
        </is>
      </c>
    </row>
    <row r="102">
      <c r="A102" s="351" t="inlineStr">
        <is>
          <t>Bulgaria</t>
        </is>
      </c>
      <c r="B102" s="352" t="inlineStr">
        <is>
          <t>Branch / PE</t>
        </is>
      </c>
      <c r="C102" s="352" t="inlineStr">
        <is>
          <t>Owner-operator</t>
        </is>
      </c>
      <c r="D102" s="353" t="inlineStr">
        <is>
          <t>Available</t>
        </is>
      </c>
    </row>
    <row r="103">
      <c r="A103" s="351" t="inlineStr">
        <is>
          <t>Bulgaria</t>
        </is>
      </c>
      <c r="B103" s="352" t="inlineStr">
        <is>
          <t>Branch / PE</t>
        </is>
      </c>
      <c r="C103" s="352" t="inlineStr">
        <is>
          <t>Fleet operator</t>
        </is>
      </c>
      <c r="D103" s="353" t="inlineStr">
        <is>
          <t>Available</t>
        </is>
      </c>
    </row>
    <row r="104">
      <c r="A104" s="351" t="inlineStr">
        <is>
          <t>Bulgaria</t>
        </is>
      </c>
      <c r="B104" s="352" t="inlineStr">
        <is>
          <t>Branch / PE</t>
        </is>
      </c>
      <c r="C104" s="352" t="inlineStr">
        <is>
          <t>Subcontractor</t>
        </is>
      </c>
      <c r="D104" s="353" t="inlineStr">
        <is>
          <t>Available</t>
        </is>
      </c>
    </row>
    <row r="105">
      <c r="A105" s="351" t="inlineStr">
        <is>
          <t>Bulgaria</t>
        </is>
      </c>
      <c r="B105" s="352" t="inlineStr">
        <is>
          <t>Branch / PE</t>
        </is>
      </c>
      <c r="C105" s="352" t="inlineStr">
        <is>
          <t>Mixed</t>
        </is>
      </c>
      <c r="D105" s="353" t="inlineStr">
        <is>
          <t>Available</t>
        </is>
      </c>
    </row>
    <row r="106">
      <c r="A106" s="351" t="inlineStr">
        <is>
          <t>Bulgaria</t>
        </is>
      </c>
      <c r="B106" s="352" t="inlineStr">
        <is>
          <t>Branch / PE</t>
        </is>
      </c>
      <c r="C106" s="352" t="inlineStr">
        <is>
          <t>Carrier with subcontractors</t>
        </is>
      </c>
      <c r="D106" s="353" t="inlineStr">
        <is>
          <t>Available</t>
        </is>
      </c>
    </row>
    <row r="107">
      <c r="A107" s="351" t="inlineStr">
        <is>
          <t>Czechia</t>
        </is>
      </c>
      <c r="B107" s="352" t="inlineStr">
        <is>
          <t>OSVČ</t>
        </is>
      </c>
      <c r="C107" s="352" t="inlineStr">
        <is>
          <t>Owner-operator</t>
        </is>
      </c>
      <c r="D107" s="353" t="inlineStr">
        <is>
          <t>Available</t>
        </is>
      </c>
    </row>
    <row r="108">
      <c r="A108" s="351" t="inlineStr">
        <is>
          <t>Czechia</t>
        </is>
      </c>
      <c r="B108" s="352" t="inlineStr">
        <is>
          <t>OSVČ</t>
        </is>
      </c>
      <c r="C108" s="352" t="inlineStr">
        <is>
          <t>Fleet operator</t>
        </is>
      </c>
      <c r="D108" s="353" t="inlineStr">
        <is>
          <t>Available</t>
        </is>
      </c>
    </row>
    <row r="109">
      <c r="A109" s="351" t="inlineStr">
        <is>
          <t>Czechia</t>
        </is>
      </c>
      <c r="B109" s="352" t="inlineStr">
        <is>
          <t>OSVČ</t>
        </is>
      </c>
      <c r="C109" s="352" t="inlineStr">
        <is>
          <t>Subcontractor</t>
        </is>
      </c>
      <c r="D109" s="353" t="inlineStr">
        <is>
          <t>Available</t>
        </is>
      </c>
    </row>
    <row r="110">
      <c r="A110" s="351" t="inlineStr">
        <is>
          <t>Czechia</t>
        </is>
      </c>
      <c r="B110" s="352" t="inlineStr">
        <is>
          <t>OSVČ</t>
        </is>
      </c>
      <c r="C110" s="352" t="inlineStr">
        <is>
          <t>Mixed</t>
        </is>
      </c>
      <c r="D110" s="353" t="inlineStr">
        <is>
          <t>Available</t>
        </is>
      </c>
    </row>
    <row r="111">
      <c r="A111" s="351" t="inlineStr">
        <is>
          <t>Czechia</t>
        </is>
      </c>
      <c r="B111" s="352" t="inlineStr">
        <is>
          <t>OSVČ</t>
        </is>
      </c>
      <c r="C111" s="352" t="inlineStr">
        <is>
          <t>Carrier with subcontractors</t>
        </is>
      </c>
      <c r="D111" s="353" t="inlineStr">
        <is>
          <t>Available</t>
        </is>
      </c>
    </row>
    <row r="112">
      <c r="A112" s="351" t="inlineStr">
        <is>
          <t>Czechia</t>
        </is>
      </c>
      <c r="B112" s="352" t="inlineStr">
        <is>
          <t>s.r.o.</t>
        </is>
      </c>
      <c r="C112" s="352" t="inlineStr">
        <is>
          <t>Owner-operator</t>
        </is>
      </c>
      <c r="D112" s="353" t="inlineStr">
        <is>
          <t>Available</t>
        </is>
      </c>
    </row>
    <row r="113">
      <c r="A113" s="351" t="inlineStr">
        <is>
          <t>Czechia</t>
        </is>
      </c>
      <c r="B113" s="352" t="inlineStr">
        <is>
          <t>s.r.o.</t>
        </is>
      </c>
      <c r="C113" s="352" t="inlineStr">
        <is>
          <t>Fleet operator</t>
        </is>
      </c>
      <c r="D113" s="353" t="inlineStr">
        <is>
          <t>Available</t>
        </is>
      </c>
    </row>
    <row r="114">
      <c r="A114" s="351" t="inlineStr">
        <is>
          <t>Czechia</t>
        </is>
      </c>
      <c r="B114" s="352" t="inlineStr">
        <is>
          <t>s.r.o.</t>
        </is>
      </c>
      <c r="C114" s="352" t="inlineStr">
        <is>
          <t>Subcontractor</t>
        </is>
      </c>
      <c r="D114" s="353" t="inlineStr">
        <is>
          <t>Available</t>
        </is>
      </c>
    </row>
    <row r="115">
      <c r="A115" s="351" t="inlineStr">
        <is>
          <t>Czechia</t>
        </is>
      </c>
      <c r="B115" s="352" t="inlineStr">
        <is>
          <t>s.r.o.</t>
        </is>
      </c>
      <c r="C115" s="352" t="inlineStr">
        <is>
          <t>Mixed</t>
        </is>
      </c>
      <c r="D115" s="353" t="inlineStr">
        <is>
          <t>Available</t>
        </is>
      </c>
    </row>
    <row r="116">
      <c r="A116" s="351" t="inlineStr">
        <is>
          <t>Czechia</t>
        </is>
      </c>
      <c r="B116" s="352" t="inlineStr">
        <is>
          <t>s.r.o.</t>
        </is>
      </c>
      <c r="C116" s="352" t="inlineStr">
        <is>
          <t>Carrier with subcontractors</t>
        </is>
      </c>
      <c r="D116" s="353" t="inlineStr">
        <is>
          <t>Available</t>
        </is>
      </c>
    </row>
    <row r="117">
      <c r="A117" s="351" t="inlineStr">
        <is>
          <t>Czechia</t>
        </is>
      </c>
      <c r="B117" s="352" t="inlineStr">
        <is>
          <t>a.s.</t>
        </is>
      </c>
      <c r="C117" s="352" t="inlineStr">
        <is>
          <t>Owner-operator</t>
        </is>
      </c>
      <c r="D117" s="353" t="inlineStr">
        <is>
          <t>Available</t>
        </is>
      </c>
    </row>
    <row r="118">
      <c r="A118" s="351" t="inlineStr">
        <is>
          <t>Czechia</t>
        </is>
      </c>
      <c r="B118" s="352" t="inlineStr">
        <is>
          <t>a.s.</t>
        </is>
      </c>
      <c r="C118" s="352" t="inlineStr">
        <is>
          <t>Fleet operator</t>
        </is>
      </c>
      <c r="D118" s="353" t="inlineStr">
        <is>
          <t>Available</t>
        </is>
      </c>
    </row>
    <row r="119">
      <c r="A119" s="351" t="inlineStr">
        <is>
          <t>Czechia</t>
        </is>
      </c>
      <c r="B119" s="352" t="inlineStr">
        <is>
          <t>a.s.</t>
        </is>
      </c>
      <c r="C119" s="352" t="inlineStr">
        <is>
          <t>Subcontractor</t>
        </is>
      </c>
      <c r="D119" s="353" t="inlineStr">
        <is>
          <t>Available</t>
        </is>
      </c>
    </row>
    <row r="120">
      <c r="A120" s="351" t="inlineStr">
        <is>
          <t>Czechia</t>
        </is>
      </c>
      <c r="B120" s="352" t="inlineStr">
        <is>
          <t>a.s.</t>
        </is>
      </c>
      <c r="C120" s="352" t="inlineStr">
        <is>
          <t>Mixed</t>
        </is>
      </c>
      <c r="D120" s="353" t="inlineStr">
        <is>
          <t>Available</t>
        </is>
      </c>
    </row>
    <row r="121">
      <c r="A121" s="351" t="inlineStr">
        <is>
          <t>Czechia</t>
        </is>
      </c>
      <c r="B121" s="352" t="inlineStr">
        <is>
          <t>a.s.</t>
        </is>
      </c>
      <c r="C121" s="352" t="inlineStr">
        <is>
          <t>Carrier with subcontractors</t>
        </is>
      </c>
      <c r="D121" s="353" t="inlineStr">
        <is>
          <t>Available</t>
        </is>
      </c>
    </row>
    <row r="122">
      <c r="A122" s="351" t="inlineStr">
        <is>
          <t>Czechia</t>
        </is>
      </c>
      <c r="B122" s="352" t="inlineStr">
        <is>
          <t>Branch / PE</t>
        </is>
      </c>
      <c r="C122" s="352" t="inlineStr">
        <is>
          <t>Owner-operator</t>
        </is>
      </c>
      <c r="D122" s="353" t="inlineStr">
        <is>
          <t>Available</t>
        </is>
      </c>
    </row>
    <row r="123">
      <c r="A123" s="351" t="inlineStr">
        <is>
          <t>Czechia</t>
        </is>
      </c>
      <c r="B123" s="352" t="inlineStr">
        <is>
          <t>Branch / PE</t>
        </is>
      </c>
      <c r="C123" s="352" t="inlineStr">
        <is>
          <t>Fleet operator</t>
        </is>
      </c>
      <c r="D123" s="353" t="inlineStr">
        <is>
          <t>Available</t>
        </is>
      </c>
    </row>
    <row r="124">
      <c r="A124" s="351" t="inlineStr">
        <is>
          <t>Czechia</t>
        </is>
      </c>
      <c r="B124" s="352" t="inlineStr">
        <is>
          <t>Branch / PE</t>
        </is>
      </c>
      <c r="C124" s="352" t="inlineStr">
        <is>
          <t>Subcontractor</t>
        </is>
      </c>
      <c r="D124" s="353" t="inlineStr">
        <is>
          <t>Available</t>
        </is>
      </c>
    </row>
    <row r="125">
      <c r="A125" s="351" t="inlineStr">
        <is>
          <t>Czechia</t>
        </is>
      </c>
      <c r="B125" s="352" t="inlineStr">
        <is>
          <t>Branch / PE</t>
        </is>
      </c>
      <c r="C125" s="352" t="inlineStr">
        <is>
          <t>Mixed</t>
        </is>
      </c>
      <c r="D125" s="353" t="inlineStr">
        <is>
          <t>Available</t>
        </is>
      </c>
    </row>
    <row r="126">
      <c r="A126" s="351" t="inlineStr">
        <is>
          <t>Czechia</t>
        </is>
      </c>
      <c r="B126" s="352" t="inlineStr">
        <is>
          <t>Branch / PE</t>
        </is>
      </c>
      <c r="C126" s="352" t="inlineStr">
        <is>
          <t>Carrier with subcontractors</t>
        </is>
      </c>
      <c r="D126" s="353" t="inlineStr">
        <is>
          <t>Available</t>
        </is>
      </c>
    </row>
    <row r="127">
      <c r="A127" s="351" t="inlineStr">
        <is>
          <t>Slovakia</t>
        </is>
      </c>
      <c r="B127" s="352" t="inlineStr">
        <is>
          <t>živnostník</t>
        </is>
      </c>
      <c r="C127" s="352" t="inlineStr">
        <is>
          <t>Owner-operator</t>
        </is>
      </c>
      <c r="D127" s="353" t="inlineStr">
        <is>
          <t>Available</t>
        </is>
      </c>
    </row>
    <row r="128">
      <c r="A128" s="351" t="inlineStr">
        <is>
          <t>Slovakia</t>
        </is>
      </c>
      <c r="B128" s="352" t="inlineStr">
        <is>
          <t>živnostník</t>
        </is>
      </c>
      <c r="C128" s="352" t="inlineStr">
        <is>
          <t>Fleet operator</t>
        </is>
      </c>
      <c r="D128" s="353" t="inlineStr">
        <is>
          <t>Available</t>
        </is>
      </c>
    </row>
    <row r="129">
      <c r="A129" s="351" t="inlineStr">
        <is>
          <t>Slovakia</t>
        </is>
      </c>
      <c r="B129" s="352" t="inlineStr">
        <is>
          <t>živnostník</t>
        </is>
      </c>
      <c r="C129" s="352" t="inlineStr">
        <is>
          <t>Subcontractor</t>
        </is>
      </c>
      <c r="D129" s="353" t="inlineStr">
        <is>
          <t>Available</t>
        </is>
      </c>
    </row>
    <row r="130">
      <c r="A130" s="351" t="inlineStr">
        <is>
          <t>Slovakia</t>
        </is>
      </c>
      <c r="B130" s="352" t="inlineStr">
        <is>
          <t>živnostník</t>
        </is>
      </c>
      <c r="C130" s="352" t="inlineStr">
        <is>
          <t>Mixed</t>
        </is>
      </c>
      <c r="D130" s="353" t="inlineStr">
        <is>
          <t>Available</t>
        </is>
      </c>
    </row>
    <row r="131">
      <c r="A131" s="351" t="inlineStr">
        <is>
          <t>Slovakia</t>
        </is>
      </c>
      <c r="B131" s="352" t="inlineStr">
        <is>
          <t>živnostník</t>
        </is>
      </c>
      <c r="C131" s="352" t="inlineStr">
        <is>
          <t>Carrier with subcontractors</t>
        </is>
      </c>
      <c r="D131" s="353" t="inlineStr">
        <is>
          <t>Available</t>
        </is>
      </c>
    </row>
    <row r="132">
      <c r="A132" s="351" t="inlineStr">
        <is>
          <t>Slovakia</t>
        </is>
      </c>
      <c r="B132" s="352" t="inlineStr">
        <is>
          <t>s.r.o.</t>
        </is>
      </c>
      <c r="C132" s="352" t="inlineStr">
        <is>
          <t>Owner-operator</t>
        </is>
      </c>
      <c r="D132" s="353" t="inlineStr">
        <is>
          <t>Available</t>
        </is>
      </c>
    </row>
    <row r="133">
      <c r="A133" s="351" t="inlineStr">
        <is>
          <t>Slovakia</t>
        </is>
      </c>
      <c r="B133" s="352" t="inlineStr">
        <is>
          <t>s.r.o.</t>
        </is>
      </c>
      <c r="C133" s="352" t="inlineStr">
        <is>
          <t>Fleet operator</t>
        </is>
      </c>
      <c r="D133" s="353" t="inlineStr">
        <is>
          <t>Available</t>
        </is>
      </c>
    </row>
    <row r="134">
      <c r="A134" s="351" t="inlineStr">
        <is>
          <t>Slovakia</t>
        </is>
      </c>
      <c r="B134" s="352" t="inlineStr">
        <is>
          <t>s.r.o.</t>
        </is>
      </c>
      <c r="C134" s="352" t="inlineStr">
        <is>
          <t>Subcontractor</t>
        </is>
      </c>
      <c r="D134" s="353" t="inlineStr">
        <is>
          <t>Available</t>
        </is>
      </c>
    </row>
    <row r="135">
      <c r="A135" s="351" t="inlineStr">
        <is>
          <t>Slovakia</t>
        </is>
      </c>
      <c r="B135" s="352" t="inlineStr">
        <is>
          <t>s.r.o.</t>
        </is>
      </c>
      <c r="C135" s="352" t="inlineStr">
        <is>
          <t>Mixed</t>
        </is>
      </c>
      <c r="D135" s="353" t="inlineStr">
        <is>
          <t>Available</t>
        </is>
      </c>
    </row>
    <row r="136">
      <c r="A136" s="351" t="inlineStr">
        <is>
          <t>Slovakia</t>
        </is>
      </c>
      <c r="B136" s="352" t="inlineStr">
        <is>
          <t>s.r.o.</t>
        </is>
      </c>
      <c r="C136" s="352" t="inlineStr">
        <is>
          <t>Carrier with subcontractors</t>
        </is>
      </c>
      <c r="D136" s="353" t="inlineStr">
        <is>
          <t>Available</t>
        </is>
      </c>
    </row>
    <row r="137">
      <c r="A137" s="351" t="inlineStr">
        <is>
          <t>Slovakia</t>
        </is>
      </c>
      <c r="B137" s="352" t="inlineStr">
        <is>
          <t>a.s.</t>
        </is>
      </c>
      <c r="C137" s="352" t="inlineStr">
        <is>
          <t>Owner-operator</t>
        </is>
      </c>
      <c r="D137" s="353" t="inlineStr">
        <is>
          <t>Available</t>
        </is>
      </c>
    </row>
    <row r="138">
      <c r="A138" s="351" t="inlineStr">
        <is>
          <t>Slovakia</t>
        </is>
      </c>
      <c r="B138" s="352" t="inlineStr">
        <is>
          <t>a.s.</t>
        </is>
      </c>
      <c r="C138" s="352" t="inlineStr">
        <is>
          <t>Fleet operator</t>
        </is>
      </c>
      <c r="D138" s="353" t="inlineStr">
        <is>
          <t>Available</t>
        </is>
      </c>
    </row>
    <row r="139">
      <c r="A139" s="351" t="inlineStr">
        <is>
          <t>Slovakia</t>
        </is>
      </c>
      <c r="B139" s="352" t="inlineStr">
        <is>
          <t>a.s.</t>
        </is>
      </c>
      <c r="C139" s="352" t="inlineStr">
        <is>
          <t>Subcontractor</t>
        </is>
      </c>
      <c r="D139" s="353" t="inlineStr">
        <is>
          <t>Available</t>
        </is>
      </c>
    </row>
    <row r="140">
      <c r="A140" s="351" t="inlineStr">
        <is>
          <t>Slovakia</t>
        </is>
      </c>
      <c r="B140" s="352" t="inlineStr">
        <is>
          <t>a.s.</t>
        </is>
      </c>
      <c r="C140" s="352" t="inlineStr">
        <is>
          <t>Mixed</t>
        </is>
      </c>
      <c r="D140" s="353" t="inlineStr">
        <is>
          <t>Available</t>
        </is>
      </c>
    </row>
    <row r="141">
      <c r="A141" s="351" t="inlineStr">
        <is>
          <t>Slovakia</t>
        </is>
      </c>
      <c r="B141" s="352" t="inlineStr">
        <is>
          <t>a.s.</t>
        </is>
      </c>
      <c r="C141" s="352" t="inlineStr">
        <is>
          <t>Carrier with subcontractors</t>
        </is>
      </c>
      <c r="D141" s="353" t="inlineStr">
        <is>
          <t>Available</t>
        </is>
      </c>
    </row>
    <row r="142">
      <c r="A142" s="351" t="inlineStr">
        <is>
          <t>Slovakia</t>
        </is>
      </c>
      <c r="B142" s="352" t="inlineStr">
        <is>
          <t>Branch / PE</t>
        </is>
      </c>
      <c r="C142" s="352" t="inlineStr">
        <is>
          <t>Owner-operator</t>
        </is>
      </c>
      <c r="D142" s="353" t="inlineStr">
        <is>
          <t>Available</t>
        </is>
      </c>
    </row>
    <row r="143">
      <c r="A143" s="351" t="inlineStr">
        <is>
          <t>Slovakia</t>
        </is>
      </c>
      <c r="B143" s="352" t="inlineStr">
        <is>
          <t>Branch / PE</t>
        </is>
      </c>
      <c r="C143" s="352" t="inlineStr">
        <is>
          <t>Fleet operator</t>
        </is>
      </c>
      <c r="D143" s="353" t="inlineStr">
        <is>
          <t>Available</t>
        </is>
      </c>
    </row>
    <row r="144">
      <c r="A144" s="351" t="inlineStr">
        <is>
          <t>Slovakia</t>
        </is>
      </c>
      <c r="B144" s="352" t="inlineStr">
        <is>
          <t>Branch / PE</t>
        </is>
      </c>
      <c r="C144" s="352" t="inlineStr">
        <is>
          <t>Subcontractor</t>
        </is>
      </c>
      <c r="D144" s="353" t="inlineStr">
        <is>
          <t>Available</t>
        </is>
      </c>
    </row>
    <row r="145">
      <c r="A145" s="351" t="inlineStr">
        <is>
          <t>Slovakia</t>
        </is>
      </c>
      <c r="B145" s="352" t="inlineStr">
        <is>
          <t>Branch / PE</t>
        </is>
      </c>
      <c r="C145" s="352" t="inlineStr">
        <is>
          <t>Mixed</t>
        </is>
      </c>
      <c r="D145" s="353" t="inlineStr">
        <is>
          <t>Available</t>
        </is>
      </c>
    </row>
    <row r="146">
      <c r="A146" s="351" t="inlineStr">
        <is>
          <t>Slovakia</t>
        </is>
      </c>
      <c r="B146" s="352" t="inlineStr">
        <is>
          <t>Branch / PE</t>
        </is>
      </c>
      <c r="C146" s="352" t="inlineStr">
        <is>
          <t>Carrier with subcontractors</t>
        </is>
      </c>
      <c r="D146" s="353" t="inlineStr">
        <is>
          <t>Available</t>
        </is>
      </c>
    </row>
    <row r="147">
      <c r="A147" s="351" t="inlineStr">
        <is>
          <t>Manual / Custom</t>
        </is>
      </c>
      <c r="B147" s="352" t="inlineStr">
        <is>
          <t>Manual entity</t>
        </is>
      </c>
      <c r="C147" s="352" t="inlineStr">
        <is>
          <t>Owner-operator</t>
        </is>
      </c>
      <c r="D147" s="353" t="inlineStr">
        <is>
          <t>Available</t>
        </is>
      </c>
    </row>
    <row r="148">
      <c r="A148" s="351" t="inlineStr">
        <is>
          <t>Manual / Custom</t>
        </is>
      </c>
      <c r="B148" s="352" t="inlineStr">
        <is>
          <t>Manual entity</t>
        </is>
      </c>
      <c r="C148" s="352" t="inlineStr">
        <is>
          <t>Fleet operator</t>
        </is>
      </c>
      <c r="D148" s="353" t="inlineStr">
        <is>
          <t>Available</t>
        </is>
      </c>
    </row>
    <row r="149">
      <c r="A149" s="351" t="inlineStr">
        <is>
          <t>Manual / Custom</t>
        </is>
      </c>
      <c r="B149" s="352" t="inlineStr">
        <is>
          <t>Manual entity</t>
        </is>
      </c>
      <c r="C149" s="352" t="inlineStr">
        <is>
          <t>Subcontractor</t>
        </is>
      </c>
      <c r="D149" s="353" t="inlineStr">
        <is>
          <t>Available</t>
        </is>
      </c>
    </row>
    <row r="150">
      <c r="A150" s="351" t="inlineStr">
        <is>
          <t>Manual / Custom</t>
        </is>
      </c>
      <c r="B150" s="352" t="inlineStr">
        <is>
          <t>Manual entity</t>
        </is>
      </c>
      <c r="C150" s="352" t="inlineStr">
        <is>
          <t>Mixed</t>
        </is>
      </c>
      <c r="D150" s="353" t="inlineStr">
        <is>
          <t>Available</t>
        </is>
      </c>
    </row>
    <row r="151">
      <c r="A151" s="354" t="inlineStr">
        <is>
          <t>Manual / Custom</t>
        </is>
      </c>
      <c r="B151" s="355" t="inlineStr">
        <is>
          <t>Manual entity</t>
        </is>
      </c>
      <c r="C151" s="355" t="inlineStr">
        <is>
          <t>Carrier with subcontractors</t>
        </is>
      </c>
      <c r="D151" s="356" t="inlineStr">
        <is>
          <t>Available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4" customWidth="1" style="60" min="1" max="1"/>
    <col width="34" customWidth="1" style="60" min="3" max="3"/>
    <col width="8.609999656677246" customWidth="1" style="60" min="5" max="5"/>
  </cols>
  <sheetData>
    <row r="1">
      <c r="A1" s="365" t="inlineStr">
        <is>
          <t>Company types for selected country</t>
        </is>
      </c>
      <c r="B1" s="365" t="str"/>
      <c r="C1" s="365" t="inlineStr">
        <is>
          <t>Business models for selected country + company type</t>
        </is>
      </c>
      <c r="D1" s="365" t="str"/>
      <c r="E1" s="365" t="inlineStr">
        <is>
          <t>Yes/No list</t>
        </is>
      </c>
      <c r="F1" s="365" t="str"/>
    </row>
    <row r="2">
      <c r="A2">
        <f t="array" ref="A2">UNIQUE(_xlfn._xlws.FILTER('Cascade Lists'!$B$2:$B$300,'Cascade Lists'!$A$2:$A$300='Company &amp; Tax Profile'!$B$3,""))</f>
        <v/>
      </c>
      <c r="C2">
        <f t="array" ref="C2">UNIQUE(_xlfn._xlws.FILTER('Cascade Lists'!$C$2:$C$300,('Cascade Lists'!$A$2:$A$300='Company &amp; Tax Profile'!$B$3)*('Cascade Lists'!$B$2:$B$300='Company &amp; Tax Profile'!$B$4),""))</f>
        <v/>
      </c>
      <c r="E2" t="inlineStr">
        <is>
          <t>Yes</t>
        </is>
      </c>
    </row>
    <row r="3">
      <c r="E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2026-05-05T20:43:17Z</dcterms:created>
  <dcterms:modified xmlns:dcterms="http://purl.org/dc/terms/" xmlns:xsi="http://www.w3.org/2001/XMLSchema-instance" xsi:type="dcterms:W3CDTF">2026-05-05T20:45:13Z</dcterms:modified>
</cp:coreProperties>
</file>