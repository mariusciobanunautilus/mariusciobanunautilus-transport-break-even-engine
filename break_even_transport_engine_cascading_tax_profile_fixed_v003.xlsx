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10d2664f3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a7395db8c5540dc"/>
    <x:sheet xmlns:r="http://schemas.openxmlformats.org/officeDocument/2006/relationships" name="Inputs" sheetId="2" r:id="Rdcf13971e3b44cff"/>
    <x:sheet xmlns:r="http://schemas.openxmlformats.org/officeDocument/2006/relationships" name="Engine" sheetId="3" r:id="R853987e74cc54c78"/>
    <x:sheet xmlns:r="http://schemas.openxmlformats.org/officeDocument/2006/relationships" name="Sensitivity" sheetId="4" r:id="Re81c2bc692de4996"/>
    <x:sheet xmlns:r="http://schemas.openxmlformats.org/officeDocument/2006/relationships" name="Vehicle Classes" sheetId="5" r:id="R1a0b91ee28ff45aa"/>
    <x:sheet xmlns:r="http://schemas.openxmlformats.org/officeDocument/2006/relationships" name="Pricing Scenarios" sheetId="6" r:id="Rb3f27ad02e8b4a24"/>
    <x:sheet xmlns:r="http://schemas.openxmlformats.org/officeDocument/2006/relationships" name="Company &amp; Tax Profile" sheetId="7" r:id="Rd7c16929bb1446e9"/>
    <x:sheet xmlns:r="http://schemas.openxmlformats.org/officeDocument/2006/relationships" name="Tax Rules" sheetId="8" r:id="R16b5a19d6f004697"/>
    <x:sheet xmlns:r="http://schemas.openxmlformats.org/officeDocument/2006/relationships" name="Cascade Lists" sheetId="9" r:id="Rc96b2944034145e6"/>
    <x:sheet xmlns:r="http://schemas.openxmlformats.org/officeDocument/2006/relationships" name="Dropdown Helper" sheetId="10" r:id="R839545aff89c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0.0%"/>
    <x:numFmt numFmtId="165" formatCode="0.000"/>
    <x:numFmt numFmtId="166" formatCode="0.0"/>
    <x:numFmt numFmtId="167" formatCode="#,##0;[Red](#,##0);-"/>
    <x:numFmt numFmtId="168" formatCode="€0.000"/>
    <x:numFmt numFmtId="169" formatCode="€#,##0;[Red](€#,##0);-"/>
    <x:numFmt numFmtId="170" formatCode="€0.0000"/>
    <x:numFmt numFmtId="171" formatCode="€#,##0.00;[Red](€#,##0.00);-"/>
    <x:numFmt numFmtId="172" formatCode="€#,##0.000"/>
    <x:numFmt numFmtId="173" formatCode="0.00%;[Red](0.00%);-"/>
    <x:numFmt numFmtId="174" formatCode="€0.000;[Red](€0.000);-"/>
    <x:numFmt numFmtId="200" formatCode="0.00%"/>
    <x:numFmt numFmtId="201" formatCode="#,##0"/>
    <x:numFmt numFmtId="202" formatCode="0"/>
  </x:numFmts>
  <x:fonts count="17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i/>
      <x:sz val="11"/>
      <x:color rgb="92400E"/>
      <x:name val="Carlito"/>
    </x:font>
    <x:font>
      <x:b/>
      <x:sz val="15"/>
      <x:color rgb="FFFFFF"/>
      <x:name val="Carlito"/>
    </x:font>
    <x:font>
      <x:b/>
      <x:sz val="11"/>
      <x:color rgb="0000FF"/>
      <x:name val="Carlito"/>
    </x:font>
    <x:font>
      <x:b/>
      <x:sz val="11"/>
      <x:color rgb="008000"/>
      <x:name val="Carlito"/>
    </x:font>
    <x:font>
      <x:b/>
    </x:font>
    <x:font>
      <x:color rgb="008000"/>
    </x:font>
    <x:font>
      <x:color rgb="0000FF"/>
    </x:font>
    <x:font>
      <x:b/>
      <x:color rgb="FFFFFF"/>
    </x:font>
  </x:fonts>
  <x:fills count="30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EAF2F8"/>
      </x:patternFill>
    </x:fill>
    <x:fill>
      <x:patternFill patternType="solid">
        <x:fgColor rgb="F6F8FA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  <x:fill>
      <x:patternFill patternType="solid">
        <x:fgColor rgb="FEF3C7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2F5597"/>
      </x:patternFill>
    </x:fill>
    <x:fill>
      <x:patternFill patternType="solid">
        <x:fgColor rgb="FFF2CC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FFF2CC"/>
      </x:patternFill>
    </x:fill>
    <x:fill>
      <x:patternFill patternType="solid">
        <x:fgColor rgb="F8FAFC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FFF2CC"/>
      </x:patternFill>
    </x:fill>
  </x:fills>
  <x:borders count="2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1"/>
  </x:cellStyleXfs>
  <x:cellXfs count="83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horizont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0" xfId="0" applyAlignment="1">
      <x:alignment horizontal="center" wrapText="1"/>
    </x:xf>
    <x:xf numFmtId="0" fontId="3" fillId="4" borderId="1" xfId="0" applyAlignment="1">
      <x:alignment horizontal="center" wrapText="1"/>
    </x:xf>
    <x:xf numFmtId="0" fontId="0" fillId="5" borderId="0" xfId="0" applyAlignment="1">
      <x:alignment wrapText="1"/>
    </x:xf>
    <x:xf numFmtId="0" fontId="0" fillId="5" borderId="1" xfId="0" applyAlignment="1">
      <x:alignment wrapText="1"/>
    </x:xf>
    <x:xf numFmtId="164" fontId="0" fillId="5" borderId="0" xfId="0" applyAlignment="1">
      <x:alignment wrapText="1"/>
    </x:xf>
    <x:xf numFmtId="164" fontId="0" fillId="5" borderId="1" xfId="0" applyAlignment="1">
      <x:alignment wrapText="1"/>
    </x:xf>
    <x:xf numFmtId="4" fontId="0" fillId="5" borderId="0" xfId="0" applyAlignment="1">
      <x:alignment wrapText="1"/>
    </x:xf>
    <x:xf numFmtId="4" fontId="0" fillId="5" borderId="1" xfId="0" applyAlignment="1">
      <x:alignment wrapText="1"/>
    </x:xf>
    <x:xf numFmtId="0" fontId="0" fillId="6" borderId="0" xfId="0"/>
    <x:xf numFmtId="0" fontId="0" fillId="6" borderId="1" xfId="0"/>
    <x:xf numFmtId="0" fontId="0" fillId="6" borderId="0" xfId="0" applyAlignment="1">
      <x:alignment wrapText="1"/>
    </x:xf>
    <x:xf numFmtId="0" fontId="0" fillId="6" borderId="1" xfId="0" applyAlignment="1">
      <x:alignment wrapText="1"/>
    </x:xf>
    <x:xf numFmtId="4" fontId="0" fillId="0" borderId="0" xfId="0" applyAlignment="1">
      <x:alignment wrapText="1"/>
    </x:xf>
    <x:xf numFmtId="4" fontId="2" fillId="3" borderId="0" xfId="0" applyAlignment="1">
      <x:alignment wrapText="1"/>
    </x:xf>
    <x:xf numFmtId="4" fontId="0" fillId="6" borderId="0" xfId="0" applyAlignment="1">
      <x:alignment wrapText="1"/>
    </x:xf>
    <x:xf numFmtId="4" fontId="0" fillId="0" borderId="1" xfId="0" applyAlignment="1">
      <x:alignment wrapText="1"/>
    </x:xf>
    <x:xf numFmtId="4" fontId="2" fillId="3" borderId="1" xfId="0" applyAlignment="1">
      <x:alignment wrapText="1"/>
    </x:xf>
    <x:xf numFmtId="4" fontId="0" fillId="6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164" fontId="0" fillId="6" borderId="0" xfId="0" applyAlignment="1">
      <x:alignment wrapText="1"/>
    </x:xf>
    <x:xf numFmtId="164" fontId="0" fillId="6" borderId="1" xfId="0" applyAlignment="1">
      <x:alignment wrapText="1"/>
    </x:xf>
    <x:xf numFmtId="165" fontId="0" fillId="0" borderId="0" xfId="0" applyAlignment="1">
      <x:alignment wrapText="1"/>
    </x:xf>
    <x:xf numFmtId="165" fontId="0" fillId="0" borderId="1" xfId="0" applyAlignment="1">
      <x:alignment wrapText="1"/>
    </x:xf>
    <x:xf numFmtId="165" fontId="0" fillId="6" borderId="0" xfId="0" applyAlignment="1">
      <x:alignment wrapText="1"/>
    </x:xf>
    <x:xf numFmtId="165" fontId="0" fillId="6" borderId="1" xfId="0" applyAlignment="1">
      <x:alignment wrapText="1"/>
    </x:xf>
    <x:xf numFmtId="9" fontId="0" fillId="0" borderId="0" xfId="0"/>
    <x:xf numFmtId="9" fontId="0" fillId="0" borderId="1" xfId="0"/>
    <x:xf numFmtId="2" fontId="3" fillId="4" borderId="0" xfId="0" applyAlignment="1">
      <x:alignment horizontal="center"/>
    </x:xf>
    <x:xf numFmtId="2" fontId="3" fillId="4" borderId="1" xfId="0" applyAlignment="1">
      <x:alignment horizontal="center"/>
    </x:xf>
    <x:xf numFmtId="3" fontId="0" fillId="0" borderId="0" xfId="0"/>
    <x:xf numFmtId="3" fontId="0" fillId="0" borderId="1" xfId="0"/>
    <x:xf numFmtId="2" fontId="0" fillId="0" borderId="0" xfId="0"/>
    <x:xf numFmtId="2" fontId="0" fillId="0" borderId="1" xfId="0"/>
    <x:xf numFmtId="0" fontId="0" fillId="7" borderId="0" xfId="0"/>
    <x:xf numFmtId="0" fontId="0" fillId="7" borderId="1" xfId="0"/>
    <x:xf numFmtId="0" fontId="0" fillId="0" borderId="0" xfId="0"/>
    <x:xf numFmtId="0" fontId="0" fillId="8" borderId="0" xfId="0"/>
    <x:xf numFmtId="0" fontId="4" fillId="8" borderId="0" xfId="0"/>
    <x:xf numFmtId="0" fontId="4" fillId="8" borderId="0" xfId="0" applyAlignment="1">
      <x:alignment horizontal="center"/>
    </x:xf>
    <x:xf numFmtId="0" fontId="4" fillId="8" borderId="0" xfId="0" applyAlignment="1">
      <x:alignment horizontal="center" vertical="center"/>
    </x:xf>
    <x:xf numFmtId="0" fontId="0" fillId="9" borderId="0" xfId="0"/>
    <x:xf numFmtId="0" fontId="5" fillId="9" borderId="0" xfId="0"/>
    <x:xf numFmtId="0" fontId="5" fillId="9" borderId="0" xfId="0" applyAlignment="1">
      <x:alignment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3" fillId="10" borderId="0" xfId="0" applyAlignment="1">
      <x:alignment horizontal="center" wrapText="1"/>
    </x:xf>
    <x:xf numFmtId="0" fontId="3" fillId="10" borderId="0" xfId="0" applyAlignment="1">
      <x:alignment horizontal="center" vertical="center" wrapText="1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2" xfId="0" applyAlignment="1">
      <x:alignment vertical="top" wrapText="1"/>
    </x:xf>
    <x:xf numFmtId="0" fontId="0" fillId="0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6" fillId="0" borderId="3" xfId="0" applyAlignment="1">
      <x:alignment vertical="top" wrapText="1"/>
    </x:xf>
    <x:xf numFmtId="0" fontId="6" fillId="0" borderId="6" xfId="0" applyAlignment="1">
      <x:alignment vertical="top" wrapText="1"/>
    </x:xf>
    <x:xf numFmtId="0" fontId="6" fillId="0" borderId="9" xfId="0" applyAlignment="1">
      <x:alignment vertical="top" wrapText="1"/>
    </x:xf>
    <x:xf numFmtId="0" fontId="7" fillId="0" borderId="3" xfId="0" applyAlignment="1">
      <x:alignment vertical="top" wrapText="1"/>
    </x:xf>
    <x:xf numFmtId="0" fontId="7" fillId="0" borderId="6" xfId="0" applyAlignment="1">
      <x:alignment vertical="top" wrapText="1"/>
    </x:xf>
    <x:xf numFmtId="0" fontId="7" fillId="0" borderId="9" xfId="0" applyAlignment="1">
      <x:alignment vertical="top" wrapText="1"/>
    </x:xf>
    <x:xf numFmtId="0" fontId="8" fillId="0" borderId="3" xfId="0" applyAlignment="1">
      <x:alignment vertical="top" wrapText="1"/>
    </x:xf>
    <x:xf numFmtId="0" fontId="8" fillId="0" borderId="6" xfId="0" applyAlignment="1">
      <x:alignment vertical="top" wrapText="1"/>
    </x:xf>
    <x:xf numFmtId="0" fontId="8" fillId="0" borderId="9" xfId="0" applyAlignment="1">
      <x:alignment vertical="top" wrapText="1"/>
    </x:xf>
    <x:xf numFmtId="166" fontId="6" fillId="0" borderId="3" xfId="0" applyAlignment="1">
      <x:alignment vertical="top" wrapText="1"/>
    </x:xf>
    <x:xf numFmtId="166" fontId="6" fillId="0" borderId="6" xfId="0" applyAlignment="1">
      <x:alignment vertical="top" wrapText="1"/>
    </x:xf>
    <x:xf numFmtId="166" fontId="6" fillId="0" borderId="9" xfId="0" applyAlignment="1">
      <x:alignment vertical="top" wrapText="1"/>
    </x:xf>
    <x:xf numFmtId="164" fontId="6" fillId="0" borderId="3" xfId="0" applyAlignment="1">
      <x:alignment vertical="top" wrapText="1"/>
    </x:xf>
    <x:xf numFmtId="164" fontId="6" fillId="0" borderId="6" xfId="0" applyAlignment="1">
      <x:alignment vertical="top" wrapText="1"/>
    </x:xf>
    <x:xf numFmtId="164" fontId="6" fillId="0" borderId="9" xfId="0" applyAlignment="1">
      <x:alignment vertical="top" wrapText="1"/>
    </x:xf>
    <x:xf numFmtId="166" fontId="7" fillId="0" borderId="3" xfId="0" applyAlignment="1">
      <x:alignment vertical="top" wrapText="1"/>
    </x:xf>
    <x:xf numFmtId="166" fontId="7" fillId="0" borderId="6" xfId="0" applyAlignment="1">
      <x:alignment vertical="top" wrapText="1"/>
    </x:xf>
    <x:xf numFmtId="166" fontId="7" fillId="0" borderId="9" xfId="0" applyAlignment="1">
      <x:alignment vertical="top" wrapText="1"/>
    </x:xf>
    <x:xf numFmtId="167" fontId="6" fillId="0" borderId="3" xfId="0" applyAlignment="1">
      <x:alignment vertical="top" wrapText="1"/>
    </x:xf>
    <x:xf numFmtId="167" fontId="7" fillId="0" borderId="3" xfId="0" applyAlignment="1">
      <x:alignment vertical="top" wrapText="1"/>
    </x:xf>
    <x:xf numFmtId="167" fontId="6" fillId="0" borderId="6" xfId="0" applyAlignment="1">
      <x:alignment vertical="top" wrapText="1"/>
    </x:xf>
    <x:xf numFmtId="167" fontId="7" fillId="0" borderId="6" xfId="0" applyAlignment="1">
      <x:alignment vertical="top" wrapText="1"/>
    </x:xf>
    <x:xf numFmtId="167" fontId="6" fillId="0" borderId="9" xfId="0" applyAlignment="1">
      <x:alignment vertical="top" wrapText="1"/>
    </x:xf>
    <x:xf numFmtId="167" fontId="7" fillId="0" borderId="9" xfId="0" applyAlignment="1">
      <x:alignment vertical="top" wrapText="1"/>
    </x:xf>
    <x:xf numFmtId="168" fontId="8" fillId="0" borderId="3" xfId="0" applyAlignment="1">
      <x:alignment vertical="top" wrapText="1"/>
    </x:xf>
    <x:xf numFmtId="168" fontId="7" fillId="0" borderId="3" xfId="0" applyAlignment="1">
      <x:alignment vertical="top" wrapText="1"/>
    </x:xf>
    <x:xf numFmtId="168" fontId="8" fillId="0" borderId="6" xfId="0" applyAlignment="1">
      <x:alignment vertical="top" wrapText="1"/>
    </x:xf>
    <x:xf numFmtId="168" fontId="7" fillId="0" borderId="6" xfId="0" applyAlignment="1">
      <x:alignment vertical="top" wrapText="1"/>
    </x:xf>
    <x:xf numFmtId="168" fontId="8" fillId="0" borderId="9" xfId="0" applyAlignment="1">
      <x:alignment vertical="top" wrapText="1"/>
    </x:xf>
    <x:xf numFmtId="168" fontId="7" fillId="0" borderId="9" xfId="0" applyAlignment="1">
      <x:alignment vertical="top" wrapText="1"/>
    </x:xf>
    <x:xf numFmtId="168" fontId="6" fillId="0" borderId="3" xfId="0" applyAlignment="1">
      <x:alignment vertical="top" wrapText="1"/>
    </x:xf>
    <x:xf numFmtId="168" fontId="6" fillId="0" borderId="6" xfId="0" applyAlignment="1">
      <x:alignment vertical="top" wrapText="1"/>
    </x:xf>
    <x:xf numFmtId="168" fontId="6" fillId="0" borderId="9" xfId="0" applyAlignment="1">
      <x:alignment vertical="top" wrapText="1"/>
    </x:xf>
    <x:xf numFmtId="169" fontId="7" fillId="0" borderId="3" xfId="0" applyAlignment="1">
      <x:alignment vertical="top" wrapText="1"/>
    </x:xf>
    <x:xf numFmtId="169" fontId="6" fillId="0" borderId="3" xfId="0" applyAlignment="1">
      <x:alignment vertical="top" wrapText="1"/>
    </x:xf>
    <x:xf numFmtId="169" fontId="7" fillId="0" borderId="6" xfId="0" applyAlignment="1">
      <x:alignment vertical="top" wrapText="1"/>
    </x:xf>
    <x:xf numFmtId="169" fontId="6" fillId="0" borderId="6" xfId="0" applyAlignment="1">
      <x:alignment vertical="top" wrapText="1"/>
    </x:xf>
    <x:xf numFmtId="169" fontId="7" fillId="0" borderId="9" xfId="0" applyAlignment="1">
      <x:alignment vertical="top" wrapText="1"/>
    </x:xf>
    <x:xf numFmtId="169" fontId="6" fillId="0" borderId="9" xfId="0" applyAlignment="1">
      <x:alignment vertical="top" wrapText="1"/>
    </x:xf>
    <x:xf numFmtId="170" fontId="7" fillId="0" borderId="3" xfId="0" applyAlignment="1">
      <x:alignment vertical="top" wrapText="1"/>
    </x:xf>
    <x:xf numFmtId="170" fontId="7" fillId="0" borderId="6" xfId="0" applyAlignment="1">
      <x:alignment vertical="top" wrapText="1"/>
    </x:xf>
    <x:xf numFmtId="170" fontId="7" fillId="0" borderId="9" xfId="0" applyAlignment="1">
      <x:alignment vertical="top" wrapText="1"/>
    </x:xf>
    <x:xf numFmtId="0" fontId="3" fillId="8" borderId="0" xfId="0"/>
    <x:xf numFmtId="0" fontId="3" fillId="8" borderId="0" xfId="0" applyAlignment="1">
      <x:alignment horizontal="center"/>
    </x:xf>
    <x:xf numFmtId="0" fontId="3" fillId="10" borderId="0" xfId="0" applyAlignment="1">
      <x:alignment horizontal="center"/>
    </x:xf>
    <x:xf numFmtId="166" fontId="0" fillId="0" borderId="3" xfId="0" applyAlignment="1">
      <x:alignment vertical="top" wrapText="1"/>
    </x:xf>
    <x:xf numFmtId="166" fontId="0" fillId="0" borderId="6" xfId="0" applyAlignment="1">
      <x:alignment vertical="top" wrapText="1"/>
    </x:xf>
    <x:xf numFmtId="166" fontId="0" fillId="0" borderId="9" xfId="0" applyAlignment="1">
      <x:alignment vertical="top" wrapText="1"/>
    </x:xf>
    <x:xf numFmtId="167" fontId="0" fillId="0" borderId="3" xfId="0" applyAlignment="1">
      <x:alignment vertical="top" wrapText="1"/>
    </x:xf>
    <x:xf numFmtId="167" fontId="0" fillId="0" borderId="6" xfId="0" applyAlignment="1">
      <x:alignment vertical="top" wrapText="1"/>
    </x:xf>
    <x:xf numFmtId="167" fontId="0" fillId="0" borderId="9" xfId="0" applyAlignment="1">
      <x:alignment vertical="top" wrapText="1"/>
    </x:xf>
    <x:xf numFmtId="169" fontId="0" fillId="0" borderId="3" xfId="0" applyAlignment="1">
      <x:alignment vertical="top" wrapText="1"/>
    </x:xf>
    <x:xf numFmtId="169" fontId="0" fillId="0" borderId="6" xfId="0" applyAlignment="1">
      <x:alignment vertical="top" wrapText="1"/>
    </x:xf>
    <x:xf numFmtId="169" fontId="0" fillId="0" borderId="9" xfId="0" applyAlignment="1">
      <x:alignment vertical="top" wrapText="1"/>
    </x:xf>
    <x:xf numFmtId="168" fontId="0" fillId="0" borderId="3" xfId="0" applyAlignment="1">
      <x:alignment vertical="top" wrapText="1"/>
    </x:xf>
    <x:xf numFmtId="168" fontId="0" fillId="0" borderId="6" xfId="0" applyAlignment="1">
      <x:alignment vertical="top" wrapText="1"/>
    </x:xf>
    <x:xf numFmtId="168" fontId="0" fillId="0" borderId="9" xfId="0" applyAlignment="1">
      <x:alignment vertical="top" wrapText="1"/>
    </x:xf>
    <x:xf numFmtId="170" fontId="0" fillId="0" borderId="3" xfId="0" applyAlignment="1">
      <x:alignment vertical="top" wrapText="1"/>
    </x:xf>
    <x:xf numFmtId="170" fontId="0" fillId="0" borderId="6" xfId="0" applyAlignment="1">
      <x:alignment vertical="top" wrapText="1"/>
    </x:xf>
    <x:xf numFmtId="170" fontId="0" fillId="0" borderId="9" xfId="0" applyAlignment="1">
      <x:alignment vertical="top" wrapText="1"/>
    </x:xf>
    <x:xf numFmtId="9" fontId="3" fillId="10" borderId="0" xfId="0" applyAlignment="1">
      <x:alignment horizontal="center"/>
    </x:xf>
    <x:xf numFmtId="170" fontId="0" fillId="0" borderId="3" xfId="0"/>
    <x:xf numFmtId="170" fontId="0" fillId="0" borderId="6" xfId="0"/>
    <x:xf numFmtId="170" fontId="0" fillId="0" borderId="9" xfId="0"/>
    <x:xf numFmtId="164" fontId="0" fillId="0" borderId="4" xfId="0"/>
    <x:xf numFmtId="164" fontId="0" fillId="0" borderId="7" xfId="0"/>
    <x:xf numFmtId="164" fontId="0" fillId="0" borderId="10" xfId="0"/>
    <x:xf numFmtId="0" fontId="0" fillId="11" borderId="0" xfId="0"/>
    <x:xf numFmtId="0" fontId="9" fillId="11" borderId="0" xfId="0"/>
    <x:xf numFmtId="0" fontId="9" fillId="11" borderId="0" xfId="0" applyAlignment="1">
      <x:alignment wrapText="1"/>
    </x:xf>
    <x:xf numFmtId="0" fontId="5" fillId="7" borderId="0" xfId="0"/>
    <x:xf numFmtId="0" fontId="5" fillId="7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horizontal="center" vertical="center" wrapText="1"/>
    </x:xf>
    <x:xf numFmtId="9" fontId="3" fillId="4" borderId="0" xfId="0" applyAlignment="1">
      <x:alignment horizontal="center"/>
    </x:xf>
    <x:xf numFmtId="0" fontId="2" fillId="0" borderId="0" xfId="0"/>
    <x:xf numFmtId="0" fontId="2" fillId="12" borderId="0" xfId="0"/>
    <x:xf numFmtId="1" fontId="2" fillId="12" borderId="0" xfId="0"/>
    <x:xf numFmtId="2" fontId="0" fillId="5" borderId="0" xfId="0" applyAlignment="1">
      <x:alignment wrapText="1"/>
    </x:xf>
    <x:xf numFmtId="0" fontId="2" fillId="0" borderId="0" xfId="0" applyAlignment="1">
      <x:alignment wrapText="1"/>
    </x:xf>
    <x:xf numFmtId="0" fontId="2" fillId="13" borderId="0" xfId="0" applyAlignment="1">
      <x:alignment wrapText="1"/>
    </x:xf>
    <x:xf numFmtId="0" fontId="0" fillId="13" borderId="0" xfId="0" applyAlignment="1">
      <x:alignment wrapText="1"/>
    </x:xf>
    <x:xf numFmtId="0" fontId="0" fillId="14" borderId="0" xfId="0"/>
    <x:xf numFmtId="0" fontId="4" fillId="14" borderId="0" xfId="0"/>
    <x:xf numFmtId="0" fontId="4" fillId="14" borderId="0" xfId="0" applyAlignment="1">
      <x:alignment horizontal="center"/>
    </x:xf>
    <x:xf numFmtId="0" fontId="4" fillId="14" borderId="0" xfId="0" applyAlignment="1">
      <x:alignment horizontal="center" vertical="center"/>
    </x:xf>
    <x:xf numFmtId="0" fontId="0" fillId="15" borderId="0" xfId="0"/>
    <x:xf numFmtId="0" fontId="3" fillId="15" borderId="0" xfId="0"/>
    <x:xf numFmtId="0" fontId="3" fillId="15" borderId="0" xfId="0" applyAlignment="1">
      <x:alignment wrapText="1"/>
    </x:xf>
    <x:xf numFmtId="0" fontId="3" fillId="15" borderId="0" xfId="0" applyAlignment="1">
      <x:alignment horizontal="center" wrapText="1"/>
    </x:xf>
    <x:xf numFmtId="0" fontId="3" fillId="15" borderId="0" xfId="0" applyAlignment="1">
      <x:alignment horizontal="center" vertical="center" wrapText="1"/>
    </x:xf>
    <x:xf numFmtId="0" fontId="0" fillId="16" borderId="0" xfId="0"/>
    <x:xf numFmtId="0" fontId="2" fillId="16" borderId="0" xfId="0"/>
    <x:xf numFmtId="0" fontId="2" fillId="16" borderId="0" xfId="0" applyAlignment="1">
      <x:alignment horizontal="center"/>
    </x:xf>
    <x:xf numFmtId="0" fontId="0" fillId="17" borderId="0" xfId="0"/>
    <x:xf numFmtId="0" fontId="0" fillId="18" borderId="0" xfId="0"/>
    <x:xf numFmtId="0" fontId="2" fillId="18" borderId="0" xfId="0" applyAlignment="1">
      <x:alignment horizontal="center"/>
    </x:xf>
    <x:xf numFmtId="0" fontId="0" fillId="19" borderId="0" xfId="0"/>
    <x:xf numFmtId="0" fontId="0" fillId="19" borderId="0" xfId="0" applyAlignment="1">
      <x:alignment wrapText="1"/>
    </x:xf>
    <x:xf numFmtId="164" fontId="0" fillId="0" borderId="0" xfId="0"/>
    <x:xf numFmtId="164" fontId="0" fillId="17" borderId="0" xfId="0"/>
    <x:xf numFmtId="164" fontId="0" fillId="18" borderId="0" xfId="0"/>
    <x:xf numFmtId="165" fontId="0" fillId="0" borderId="0" xfId="0"/>
    <x:xf numFmtId="165" fontId="0" fillId="18" borderId="0" xfId="0"/>
    <x:xf numFmtId="3" fontId="0" fillId="18" borderId="0" xfId="0"/>
    <x:xf numFmtId="4" fontId="0" fillId="19" borderId="0" xfId="0" applyAlignment="1">
      <x:alignment wrapText="1"/>
    </x:xf>
    <x:xf numFmtId="0" fontId="5" fillId="19" borderId="0" xfId="0" applyAlignment="1">
      <x:alignment wrapText="1"/>
    </x:xf>
    <x:xf numFmtId="4" fontId="5" fillId="19" borderId="0" xfId="0" applyAlignment="1">
      <x:alignment wrapText="1"/>
    </x:xf>
    <x:xf numFmtId="0" fontId="0" fillId="18" borderId="0" xfId="0" applyAlignment="1">
      <x:alignment wrapText="1"/>
    </x:xf>
    <x:xf numFmtId="4" fontId="0" fillId="18" borderId="0" xfId="0" applyAlignment="1">
      <x:alignment wrapText="1"/>
    </x:xf>
    <x:xf numFmtId="0" fontId="2" fillId="18" borderId="0" xfId="0" applyAlignment="1">
      <x:alignment wrapText="1"/>
    </x:xf>
    <x:xf numFmtId="4" fontId="2" fillId="18" borderId="0" xfId="0" applyAlignment="1">
      <x:alignment wrapText="1"/>
    </x:xf>
    <x:xf numFmtId="165" fontId="2" fillId="18" borderId="0" xfId="0" applyAlignment="1">
      <x:alignment wrapText="1"/>
    </x:xf>
    <x:xf numFmtId="3" fontId="0" fillId="6" borderId="0" xfId="0" applyAlignment="1">
      <x:alignment wrapText="1"/>
    </x:xf>
    <x:xf numFmtId="0" fontId="3" fillId="15" borderId="0" xfId="0" applyAlignment="1">
      <x:alignment horizont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2" fillId="3" borderId="0" xfId="0" applyAlignment="1">
      <x:alignment horizontal="center"/>
    </x:xf>
    <x:xf numFmtId="0" fontId="2" fillId="6" borderId="0" xfId="0" applyAlignment="1">
      <x:alignment horizontal="center"/>
    </x:xf>
    <x:xf numFmtId="0" fontId="0" fillId="7" borderId="0" xfId="0" applyAlignment="1">
      <x:alignment wrapText="1"/>
    </x:xf>
    <x:xf numFmtId="164" fontId="0" fillId="11" borderId="0" xfId="0"/>
    <x:xf numFmtId="164" fontId="0" fillId="6" borderId="0" xfId="0"/>
    <x:xf numFmtId="165" fontId="0" fillId="6" borderId="0" xfId="0"/>
    <x:xf numFmtId="3" fontId="0" fillId="6" borderId="0" xfId="0"/>
    <x:xf numFmtId="4" fontId="0" fillId="7" borderId="0" xfId="0" applyAlignment="1">
      <x:alignment wrapText="1"/>
    </x:xf>
    <x:xf numFmtId="4" fontId="5" fillId="7" borderId="0" xfId="0" applyAlignment="1">
      <x:alignment wrapText="1"/>
    </x:xf>
    <x:xf numFmtId="0" fontId="2" fillId="6" borderId="0" xfId="0" applyAlignment="1">
      <x:alignment wrapText="1"/>
    </x:xf>
    <x:xf numFmtId="4" fontId="2" fillId="6" borderId="0" xfId="0" applyAlignment="1">
      <x:alignment wrapText="1"/>
    </x:xf>
    <x:xf numFmtId="165" fontId="2" fillId="6" borderId="0" xfId="0" applyAlignment="1">
      <x:alignment wrapText="1"/>
    </x:xf>
    <x:xf numFmtId="0" fontId="0" fillId="20" borderId="0" xfId="0"/>
    <x:xf numFmtId="0" fontId="1" fillId="20" borderId="0" xfId="0"/>
    <x:xf numFmtId="0" fontId="1" fillId="20" borderId="0" xfId="0" applyAlignment="1">
      <x:alignment horizontal="center"/>
    </x:xf>
    <x:xf numFmtId="0" fontId="1" fillId="20" borderId="0" xfId="0" applyAlignment="1">
      <x:alignment horizontal="center" vertical="center"/>
    </x:xf>
    <x:xf numFmtId="0" fontId="3" fillId="20" borderId="0" xfId="0"/>
    <x:xf numFmtId="0" fontId="3" fillId="20" borderId="0" xfId="0" applyAlignment="1">
      <x:alignment wrapText="1"/>
    </x:xf>
    <x:xf numFmtId="0" fontId="3" fillId="20" borderId="0" xfId="0" applyAlignment="1">
      <x:alignment horizontal="center" wrapText="1"/>
    </x:xf>
    <x:xf numFmtId="0" fontId="3" fillId="20" borderId="0" xfId="0" applyAlignment="1">
      <x:alignment horizontal="center" vertical="center" wrapText="1"/>
    </x:xf>
    <x:xf numFmtId="0" fontId="0" fillId="21" borderId="0" xfId="0"/>
    <x:xf numFmtId="0" fontId="3" fillId="21" borderId="0" xfId="0"/>
    <x:xf numFmtId="0" fontId="3" fillId="21" borderId="0" xfId="0" applyAlignment="1">
      <x:alignment horizontal="left"/>
    </x:xf>
    <x:xf numFmtId="0" fontId="3" fillId="21" borderId="0" xfId="0" applyAlignment="1">
      <x:alignment horizontal="left" vertical="center"/>
    </x:xf>
    <x:xf numFmtId="0" fontId="6" fillId="0" borderId="0" xfId="0" applyAlignment="1">
      <x:alignment wrapText="1"/>
    </x:xf>
    <x:xf numFmtId="0" fontId="8" fillId="0" borderId="0" xfId="0" applyAlignment="1">
      <x:alignment wrapText="1"/>
    </x:xf>
    <x:xf numFmtId="0" fontId="7" fillId="0" borderId="0" xfId="0" applyAlignment="1">
      <x:alignment wrapText="1"/>
    </x:xf>
    <x:xf numFmtId="0" fontId="6" fillId="22" borderId="0" xfId="0" applyAlignment="1">
      <x:alignment wrapText="1"/>
    </x:xf>
    <x:xf numFmtId="10" fontId="6" fillId="22" borderId="0" xfId="0" applyAlignment="1">
      <x:alignment wrapText="1"/>
    </x:xf>
    <x:xf numFmtId="10" fontId="7" fillId="0" borderId="0" xfId="0" applyAlignment="1">
      <x:alignment wrapText="1"/>
    </x:xf>
    <x:xf numFmtId="10" fontId="8" fillId="0" borderId="0" xfId="0" applyAlignment="1">
      <x:alignment wrapText="1"/>
    </x:xf>
    <x:xf numFmtId="4" fontId="6" fillId="22" borderId="0" xfId="0" applyAlignment="1">
      <x:alignment wrapText="1"/>
    </x:xf>
    <x:xf numFmtId="4" fontId="8" fillId="0" borderId="0" xfId="0" applyAlignment="1">
      <x:alignment wrapText="1"/>
    </x:xf>
    <x:xf numFmtId="171" fontId="8" fillId="0" borderId="0" xfId="0" applyAlignment="1">
      <x:alignment wrapText="1"/>
    </x:xf>
    <x:xf numFmtId="168" fontId="8" fillId="0" borderId="0" xfId="0" applyAlignment="1">
      <x:alignment wrapText="1"/>
    </x:xf>
    <x:xf numFmtId="3" fontId="8" fillId="0" borderId="0" xfId="0" applyAlignment="1">
      <x:alignment wrapText="1"/>
    </x:xf>
    <x:xf numFmtId="169" fontId="8" fillId="0" borderId="0" xfId="0" applyAlignment="1">
      <x:alignment wrapText="1"/>
    </x:xf>
    <x:xf numFmtId="172" fontId="8" fillId="0" borderId="0" xfId="0" applyAlignment="1">
      <x:alignment wrapText="1"/>
    </x:xf>
    <x:xf numFmtId="0" fontId="0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6" fillId="22" borderId="0" xfId="0" applyAlignment="1">
      <x:alignment vertical="center" wrapText="1"/>
    </x:xf>
    <x:xf numFmtId="10" fontId="6" fillId="22" borderId="0" xfId="0" applyAlignment="1">
      <x:alignment vertical="center" wrapText="1"/>
    </x:xf>
    <x:xf numFmtId="10" fontId="7" fillId="0" borderId="0" xfId="0" applyAlignment="1">
      <x:alignment vertical="center" wrapText="1"/>
    </x:xf>
    <x:xf numFmtId="4" fontId="6" fillId="22" borderId="0" xfId="0" applyAlignment="1">
      <x:alignment vertical="center" wrapText="1"/>
    </x:xf>
    <x:xf numFmtId="4" fontId="8" fillId="0" borderId="0" xfId="0" applyAlignment="1">
      <x:alignment vertical="center" wrapText="1"/>
    </x:xf>
    <x:xf numFmtId="10" fontId="8" fillId="0" borderId="0" xfId="0" applyAlignment="1">
      <x:alignment vertical="center" wrapText="1"/>
    </x:xf>
    <x:xf numFmtId="171" fontId="8" fillId="0" borderId="0" xfId="0" applyAlignment="1">
      <x:alignment vertical="center" wrapText="1"/>
    </x:xf>
    <x:xf numFmtId="168" fontId="8" fillId="0" borderId="0" xfId="0" applyAlignment="1">
      <x:alignment vertical="center" wrapText="1"/>
    </x:xf>
    <x:xf numFmtId="3" fontId="8" fillId="0" borderId="0" xfId="0" applyAlignment="1">
      <x:alignment vertical="center" wrapText="1"/>
    </x:xf>
    <x:xf numFmtId="169" fontId="8" fillId="0" borderId="0" xfId="0" applyAlignment="1">
      <x:alignment vertical="center" wrapText="1"/>
    </x:xf>
    <x:xf numFmtId="168" fontId="0" fillId="0" borderId="0" xfId="0" applyAlignment="1">
      <x:alignment wrapText="1"/>
    </x:xf>
    <x:xf numFmtId="169" fontId="0" fillId="0" borderId="0" xfId="0" applyAlignment="1">
      <x:alignment wrapText="1"/>
    </x:xf>
    <x:xf numFmtId="10" fontId="0" fillId="0" borderId="0" xfId="0" applyAlignment="1">
      <x:alignment wrapText="1"/>
    </x:xf>
    <x:xf numFmtId="0" fontId="1" fillId="23" borderId="0" xfId="0" applyAlignment="1">
      <x:alignment horizontal="center" vertical="center"/>
    </x:xf>
    <x:xf numFmtId="0" fontId="10" fillId="23" borderId="0" xfId="0" applyAlignment="1">
      <x:alignment horizontal="center" vertical="center"/>
    </x:xf>
    <x:xf numFmtId="0" fontId="3" fillId="24" borderId="0" xfId="0" applyAlignment="1">
      <x:alignment horizontal="center" vertical="center" wrapText="1"/>
    </x:xf>
    <x:xf numFmtId="0" fontId="0" fillId="24" borderId="0" xfId="0" applyAlignment="1">
      <x:alignment vertical="center"/>
    </x:xf>
    <x:xf numFmtId="0" fontId="3" fillId="24" borderId="0" xfId="0" applyAlignment="1">
      <x:alignment vertical="center"/>
    </x:xf>
    <x:xf numFmtId="0" fontId="3" fillId="24" borderId="0" xfId="0" applyAlignment="1">
      <x:alignment horizontal="center" vertical="center"/>
    </x:xf>
    <x:xf numFmtId="0" fontId="0" fillId="25" borderId="0" xfId="0" applyAlignment="1">
      <x:alignment vertical="center" wrapText="1"/>
    </x:xf>
    <x:xf numFmtId="0" fontId="11" fillId="25" borderId="0" xfId="0" applyAlignment="1">
      <x:alignment vertical="center" wrapText="1"/>
    </x:xf>
    <x:xf numFmtId="0" fontId="0" fillId="26" borderId="0" xfId="0" applyAlignment="1">
      <x:alignment vertical="center" wrapText="1"/>
    </x:xf>
    <x:xf numFmtId="0" fontId="8" fillId="26" borderId="0" xfId="0" applyAlignment="1">
      <x:alignment vertical="center" wrapText="1"/>
    </x:xf>
    <x:xf numFmtId="0" fontId="2" fillId="0" borderId="0" xfId="0" applyAlignment="1">
      <x:alignment vertical="center"/>
    </x:xf>
    <x:xf numFmtId="0" fontId="0" fillId="26" borderId="0" xfId="0" applyAlignment="1">
      <x:alignment vertical="center"/>
    </x:xf>
    <x:xf numFmtId="0" fontId="3" fillId="26" borderId="0" xfId="0" applyAlignment="1">
      <x:alignment horizontal="left" vertical="center"/>
    </x:xf>
    <x:xf numFmtId="0" fontId="3" fillId="26" borderId="0" xfId="0" applyAlignment="1">
      <x:alignment horizontal="center" vertical="center" wrapText="1"/>
    </x:xf>
    <x:xf numFmtId="168" fontId="8" fillId="26" borderId="0" xfId="0" applyAlignment="1">
      <x:alignment vertical="center" wrapText="1"/>
    </x:xf>
    <x:xf numFmtId="3" fontId="8" fillId="26" borderId="0" xfId="0" applyAlignment="1">
      <x:alignment vertical="center" wrapText="1"/>
    </x:xf>
    <x:xf numFmtId="169" fontId="8" fillId="26" borderId="0" xfId="0" applyAlignment="1">
      <x:alignment vertical="center" wrapText="1"/>
    </x:xf>
    <x:xf numFmtId="10" fontId="8" fillId="26" borderId="0" xfId="0" applyAlignment="1">
      <x:alignment vertical="center" wrapText="1"/>
    </x:xf>
    <x:xf numFmtId="0" fontId="8" fillId="26" borderId="0" xfId="0" applyAlignment="1">
      <x:alignment vertical="center"/>
    </x:xf>
    <x:xf numFmtId="0" fontId="12" fillId="26" borderId="0" xfId="0" applyAlignment="1">
      <x:alignment horizontal="left" vertical="center"/>
    </x:xf>
    <x:xf numFmtId="0" fontId="12" fillId="26" borderId="0" xfId="0" applyAlignment="1">
      <x:alignment horizontal="center" vertical="center" wrapText="1"/>
    </x:xf>
    <x:xf numFmtId="3" fontId="8" fillId="25" borderId="0" xfId="0" applyAlignment="1">
      <x:alignment vertical="center" wrapText="1"/>
    </x:xf>
    <x:xf numFmtId="3" fontId="6" fillId="25" borderId="0" xfId="0" applyAlignment="1">
      <x:alignment vertical="center" wrapText="1"/>
    </x:xf>
    <x:xf numFmtId="0" fontId="3" fillId="21" borderId="0" xfId="0" applyAlignment="1">
      <x:alignment horizontal="left" vertical="center" wrapText="1"/>
    </x:xf>
    <x:xf numFmtId="0" fontId="10" fillId="23" borderId="11" xfId="0" applyAlignment="1">
      <x:alignment horizontal="center" vertical="center"/>
    </x:xf>
    <x:xf numFmtId="0" fontId="10" fillId="23" borderId="12" xfId="0" applyAlignment="1">
      <x:alignment horizontal="center" vertical="center"/>
    </x:xf>
    <x:xf numFmtId="0" fontId="10" fillId="23" borderId="13" xfId="0" applyAlignment="1">
      <x:alignment horizontal="center" vertical="center"/>
    </x:xf>
    <x:xf numFmtId="0" fontId="0" fillId="0" borderId="14" xfId="0" applyAlignment="1">
      <x:alignment vertical="center"/>
    </x:xf>
    <x:xf numFmtId="0" fontId="0" fillId="0" borderId="15" xfId="0" applyAlignment="1">
      <x:alignment vertical="center"/>
    </x:xf>
    <x:xf numFmtId="0" fontId="0" fillId="0" borderId="16" xfId="0" applyAlignment="1">
      <x:alignment vertical="center"/>
    </x:xf>
    <x:xf numFmtId="0" fontId="3" fillId="24" borderId="14" xfId="0" applyAlignment="1">
      <x:alignment horizontal="center" vertical="center" wrapText="1"/>
    </x:xf>
    <x:xf numFmtId="0" fontId="3" fillId="24" borderId="15" xfId="0" applyAlignment="1">
      <x:alignment horizontal="center" vertical="center" wrapText="1"/>
    </x:xf>
    <x:xf numFmtId="0" fontId="3" fillId="24" borderId="16" xfId="0" applyAlignment="1">
      <x:alignment horizontal="center" vertical="center" wrapText="1"/>
    </x:xf>
    <x:xf numFmtId="0" fontId="2" fillId="0" borderId="14" xfId="0" applyAlignment="1">
      <x:alignment vertical="center" wrapText="1"/>
    </x:xf>
    <x:xf numFmtId="0" fontId="11" fillId="25" borderId="15" xfId="0" applyAlignment="1">
      <x:alignment vertical="center" wrapText="1"/>
    </x:xf>
    <x:xf numFmtId="0" fontId="6" fillId="22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8" fillId="26" borderId="15" xfId="0" applyAlignment="1">
      <x:alignment vertical="center" wrapText="1"/>
    </x:xf>
    <x:xf numFmtId="10" fontId="6" fillId="22" borderId="15" xfId="0" applyAlignment="1">
      <x:alignment vertical="center" wrapText="1"/>
    </x:xf>
    <x:xf numFmtId="10" fontId="7" fillId="0" borderId="15" xfId="0" applyAlignment="1">
      <x:alignment vertical="center" wrapText="1"/>
    </x:xf>
    <x:xf numFmtId="4" fontId="6" fillId="22" borderId="15" xfId="0" applyAlignment="1">
      <x:alignment vertical="center" wrapText="1"/>
    </x:xf>
    <x:xf numFmtId="4" fontId="8" fillId="0" borderId="15" xfId="0" applyAlignment="1">
      <x:alignment vertical="center" wrapText="1"/>
    </x:xf>
    <x:xf numFmtId="10" fontId="8" fillId="0" borderId="15" xfId="0" applyAlignment="1">
      <x:alignment vertical="center" wrapText="1"/>
    </x:xf>
    <x:xf numFmtId="171" fontId="8" fillId="0" borderId="15" xfId="0" applyAlignment="1">
      <x:alignment vertical="center" wrapText="1"/>
    </x:xf>
    <x:xf numFmtId="0" fontId="0" fillId="0" borderId="15" xfId="0" applyAlignment="1">
      <x:alignment vertical="center" wrapText="1"/>
    </x:xf>
    <x:xf numFmtId="0" fontId="3" fillId="24" borderId="14" xfId="0" applyAlignment="1">
      <x:alignment horizontal="center" vertical="center"/>
    </x:xf>
    <x:xf numFmtId="0" fontId="3" fillId="24" borderId="15" xfId="0" applyAlignment="1">
      <x:alignment horizontal="center" vertical="center"/>
    </x:xf>
    <x:xf numFmtId="0" fontId="2" fillId="0" borderId="14" xfId="0" applyAlignment="1">
      <x:alignment vertical="center"/>
    </x:xf>
    <x:xf numFmtId="0" fontId="8" fillId="26" borderId="15" xfId="0" applyAlignment="1">
      <x:alignment vertical="center"/>
    </x:xf>
    <x:xf numFmtId="0" fontId="3" fillId="21" borderId="14" xfId="0" applyAlignment="1">
      <x:alignment horizontal="left" vertical="center"/>
    </x:xf>
    <x:xf numFmtId="0" fontId="3" fillId="21" borderId="15" xfId="0" applyAlignment="1">
      <x:alignment horizontal="left" vertical="center"/>
    </x:xf>
    <x:xf numFmtId="0" fontId="12" fillId="26" borderId="15" xfId="0" applyAlignment="1">
      <x:alignment horizontal="left" vertical="center"/>
    </x:xf>
    <x:xf numFmtId="0" fontId="3" fillId="21" borderId="16" xfId="0" applyAlignment="1">
      <x:alignment horizontal="left" vertical="center" wrapText="1"/>
    </x:xf>
    <x:xf numFmtId="0" fontId="3" fillId="20" borderId="14" xfId="0" applyAlignment="1">
      <x:alignment horizontal="center" vertical="center" wrapText="1"/>
    </x:xf>
    <x:xf numFmtId="0" fontId="3" fillId="20" borderId="15" xfId="0" applyAlignment="1">
      <x:alignment horizontal="center" vertical="center" wrapText="1"/>
    </x:xf>
    <x:xf numFmtId="0" fontId="12" fillId="26" borderId="15" xfId="0" applyAlignment="1">
      <x:alignment horizontal="center" vertical="center" wrapText="1"/>
    </x:xf>
    <x:xf numFmtId="0" fontId="3" fillId="20" borderId="16" xfId="0" applyAlignment="1">
      <x:alignment horizontal="center" vertical="center" wrapText="1"/>
    </x:xf>
    <x:xf numFmtId="168" fontId="8" fillId="26" borderId="15" xfId="0" applyAlignment="1">
      <x:alignment vertical="center" wrapText="1"/>
    </x:xf>
    <x:xf numFmtId="3" fontId="6" fillId="25" borderId="15" xfId="0" applyAlignment="1">
      <x:alignment vertical="center" wrapText="1"/>
    </x:xf>
    <x:xf numFmtId="169" fontId="8" fillId="26" borderId="15" xfId="0" applyAlignment="1">
      <x:alignment vertical="center" wrapText="1"/>
    </x:xf>
    <x:xf numFmtId="10" fontId="8" fillId="26" borderId="15" xfId="0" applyAlignment="1">
      <x:alignment vertical="center" wrapText="1"/>
    </x:xf>
    <x:xf numFmtId="0" fontId="2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8" fillId="26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173" fontId="8" fillId="26" borderId="15" xfId="0" applyAlignment="1">
      <x:alignment vertical="center" wrapText="1"/>
    </x:xf>
    <x:xf numFmtId="173" fontId="12" fillId="26" borderId="15" xfId="0" applyAlignment="1">
      <x:alignment horizontal="left" vertical="center"/>
    </x:xf>
    <x:xf numFmtId="173" fontId="8" fillId="26" borderId="15" xfId="0" applyAlignment="1">
      <x:alignment vertical="center"/>
    </x:xf>
    <x:xf numFmtId="173" fontId="12" fillId="26" borderId="15" xfId="0" applyAlignment="1">
      <x:alignment horizontal="center" vertical="center" wrapText="1"/>
    </x:xf>
    <x:xf numFmtId="174" fontId="8" fillId="26" borderId="15" xfId="0" applyAlignment="1">
      <x:alignment vertical="center" wrapText="1"/>
    </x:xf>
    <x:xf numFmtId="169" fontId="8" fillId="26" borderId="15" xfId="0" applyAlignment="1">
      <x:alignment vertical="center"/>
    </x:xf>
    <x:xf numFmtId="169" fontId="12" fillId="26" borderId="15" xfId="0" applyAlignment="1">
      <x:alignment horizontal="left" vertical="center"/>
    </x:xf>
    <x:xf numFmtId="174" fontId="8" fillId="26" borderId="18" xfId="0" applyAlignment="1">
      <x:alignment vertical="center" wrapText="1"/>
    </x:xf>
    <x:xf numFmtId="0" fontId="0" fillId="24" borderId="0" xfId="0"/>
    <x:xf numFmtId="0" fontId="3" fillId="24" borderId="0" xfId="0"/>
    <x:xf numFmtId="0" fontId="3" fillId="24" borderId="0" xfId="0" applyAlignment="1">
      <x:alignment horizontal="center"/>
    </x:xf>
    <x:xf numFmtId="0" fontId="3" fillId="24" borderId="11" xfId="0" applyAlignment="1">
      <x:alignment horizontal="center"/>
    </x:xf>
    <x:xf numFmtId="0" fontId="3" fillId="24" borderId="12" xfId="0" applyAlignment="1">
      <x:alignment horizontal="center"/>
    </x:xf>
    <x:xf numFmtId="0" fontId="3" fillId="24" borderId="13" xfId="0" applyAlignment="1">
      <x:alignment horizontal="center"/>
    </x:xf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173" fontId="0" fillId="0" borderId="15" xfId="0"/>
    <x:xf numFmtId="173" fontId="0" fillId="0" borderId="18" xfId="0"/>
    <x:xf numFmtId="169" fontId="0" fillId="0" borderId="15" xfId="0"/>
    <x:xf numFmtId="169" fontId="0" fillId="0" borderId="18" xfId="0"/>
    <x:xf numFmtId="0" fontId="3" fillId="24" borderId="12" xfId="0" applyAlignment="1">
      <x:alignment horizontal="center" wrapText="1"/>
    </x:xf>
    <x:xf numFmtId="0" fontId="3" fillId="24" borderId="13" xfId="0" applyAlignment="1">
      <x:alignment horizontal="center" wrapText="1"/>
    </x:xf>
    <x:xf numFmtId="0" fontId="0" fillId="27" borderId="0" xfId="0"/>
    <x:xf numFmtId="0" fontId="3" fillId="27" borderId="0" xfId="0"/>
    <x:xf numFmtId="0" fontId="3" fillId="27" borderId="0" xfId="0" applyAlignment="1">
      <x:alignment horizontal="center"/>
    </x:xf>
    <x:xf numFmtId="4" fontId="0" fillId="26" borderId="0" xfId="0" applyAlignment="1">
      <x:alignment wrapText="1"/>
    </x:xf>
    <x:xf numFmtId="4" fontId="8" fillId="26" borderId="0" xfId="0" applyAlignment="1">
      <x:alignment wrapText="1"/>
    </x:xf>
    <x:xf numFmtId="164" fontId="0" fillId="26" borderId="0" xfId="0" applyAlignment="1">
      <x:alignment wrapText="1"/>
    </x:xf>
    <x:xf numFmtId="164" fontId="8" fillId="26" borderId="0" xfId="0" applyAlignment="1">
      <x:alignment wrapText="1"/>
    </x:xf>
    <x:xf numFmtId="0" fontId="0" fillId="0" borderId="11" xfId="0"/>
    <x:xf numFmtId="0" fontId="0" fillId="0" borderId="13" xfId="0"/>
    <x:xf numFmtId="0" fontId="0" fillId="24" borderId="11" xfId="0"/>
    <x:xf numFmtId="0" fontId="0" fillId="24" borderId="14" xfId="0"/>
    <x:xf numFmtId="0" fontId="0" fillId="24" borderId="17" xfId="0"/>
    <x:xf numFmtId="0" fontId="3" fillId="24" borderId="11" xfId="0"/>
    <x:xf numFmtId="0" fontId="3" fillId="24" borderId="14" xfId="0"/>
    <x:xf numFmtId="0" fontId="3" fillId="24" borderId="17" xfId="0"/>
    <x:xf numFmtId="0" fontId="0" fillId="0" borderId="13" xfId="0" applyAlignment="1">
      <x:alignment wrapText="1"/>
    </x:xf>
    <x:xf numFmtId="0" fontId="0" fillId="0" borderId="16" xfId="0" applyAlignment="1">
      <x:alignment wrapText="1"/>
    </x:xf>
    <x:xf numFmtId="0" fontId="0" fillId="0" borderId="19" xfId="0" applyAlignment="1">
      <x:alignment wrapText="1"/>
    </x:xf>
    <x:xf numFmtId="0" fontId="3" fillId="8" borderId="1" xfId="0" applyAlignment="1">
      <x:alignment horizontal="center"/>
    </x:xf>
    <x:xf numFmtId="2" fontId="0" fillId="5" borderId="0" xfId="0" applyAlignment="1">
      <x:alignment wrapText="1"/>
    </x:xf>
    <x:xf numFmtId="4" fontId="0" fillId="5" borderId="0" xfId="0" applyAlignment="1">
      <x:alignment wrapText="1"/>
    </x:xf>
    <x:xf numFmtId="164" fontId="0" fillId="5" borderId="0" xfId="0" applyAlignment="1">
      <x:alignment wrapText="1"/>
    </x:xf>
    <x:xf numFmtId="4" fontId="8" fillId="26" borderId="0" xfId="0" applyAlignment="1">
      <x:alignment wrapText="1"/>
    </x:xf>
    <x:xf numFmtId="164" fontId="8" fillId="26" borderId="0" xfId="0" applyAlignment="1">
      <x:alignment wrapText="1"/>
    </x:xf>
    <x:xf numFmtId="4" fontId="5" fillId="19" borderId="0" xfId="0" applyAlignment="1">
      <x:alignment wrapText="1"/>
    </x:xf>
    <x:xf numFmtId="1" fontId="2" fillId="12" borderId="0" xfId="0"/>
    <x:xf numFmtId="4" fontId="0" fillId="0" borderId="0" xfId="0" applyAlignment="1">
      <x:alignment wrapText="1"/>
    </x:xf>
    <x:xf numFmtId="164" fontId="0" fillId="0" borderId="0" xfId="0" applyAlignment="1">
      <x:alignment wrapText="1"/>
    </x:xf>
    <x:xf numFmtId="165" fontId="2" fillId="18" borderId="0" xfId="0" applyAlignment="1">
      <x:alignment wrapText="1"/>
    </x:xf>
    <x:xf numFmtId="4" fontId="2" fillId="3" borderId="0" xfId="0" applyAlignment="1">
      <x:alignment wrapText="1"/>
    </x:xf>
    <x:xf numFmtId="165" fontId="0" fillId="0" borderId="0" xfId="0" applyAlignment="1">
      <x:alignment wrapText="1"/>
    </x:xf>
    <x:xf numFmtId="4" fontId="0" fillId="6" borderId="0" xfId="0" applyAlignment="1">
      <x:alignment wrapText="1"/>
    </x:xf>
    <x:xf numFmtId="165" fontId="0" fillId="6" borderId="0" xfId="0" applyAlignment="1">
      <x:alignment wrapText="1"/>
    </x:xf>
    <x:xf numFmtId="3" fontId="0" fillId="6" borderId="0" xfId="0" applyAlignment="1">
      <x:alignment wrapText="1"/>
    </x:xf>
    <x:xf numFmtId="164" fontId="0" fillId="6" borderId="0" xfId="0" applyAlignment="1">
      <x:alignment wrapText="1"/>
    </x:xf>
    <x:xf numFmtId="2" fontId="3" fillId="4" borderId="0" xfId="0" applyAlignment="1">
      <x:alignment horizontal="center"/>
    </x:xf>
    <x:xf numFmtId="9" fontId="0" fillId="0" borderId="0" xfId="0"/>
    <x:xf numFmtId="3" fontId="0" fillId="0" borderId="0" xfId="0"/>
    <x:xf numFmtId="2" fontId="0" fillId="0" borderId="0" xfId="0"/>
    <x:xf numFmtId="0" fontId="4" fillId="8" borderId="1" xfId="0" applyAlignment="1">
      <x:alignment horizontal="center" vertical="center"/>
    </x:xf>
    <x:xf numFmtId="0" fontId="5" fillId="9" borderId="1" xfId="0" applyAlignment="1">
      <x:alignment wrapText="1"/>
    </x:xf>
    <x:xf numFmtId="166" fontId="0" fillId="0" borderId="3" xfId="0" applyAlignment="1">
      <x:alignment vertical="top" wrapText="1"/>
    </x:xf>
    <x:xf numFmtId="167" fontId="0" fillId="0" borderId="3" xfId="0" applyAlignment="1">
      <x:alignment vertical="top" wrapText="1"/>
    </x:xf>
    <x:xf numFmtId="169" fontId="0" fillId="0" borderId="3" xfId="0" applyAlignment="1">
      <x:alignment vertical="top" wrapText="1"/>
    </x:xf>
    <x:xf numFmtId="168" fontId="0" fillId="0" borderId="3" xfId="0" applyAlignment="1">
      <x:alignment vertical="top" wrapText="1"/>
    </x:xf>
    <x:xf numFmtId="170" fontId="0" fillId="0" borderId="3" xfId="0" applyAlignment="1">
      <x:alignment vertical="top" wrapText="1"/>
    </x:xf>
    <x:xf numFmtId="166" fontId="0" fillId="0" borderId="6" xfId="0" applyAlignment="1">
      <x:alignment vertical="top" wrapText="1"/>
    </x:xf>
    <x:xf numFmtId="167" fontId="0" fillId="0" borderId="6" xfId="0" applyAlignment="1">
      <x:alignment vertical="top" wrapText="1"/>
    </x:xf>
    <x:xf numFmtId="169" fontId="0" fillId="0" borderId="6" xfId="0" applyAlignment="1">
      <x:alignment vertical="top" wrapText="1"/>
    </x:xf>
    <x:xf numFmtId="168" fontId="0" fillId="0" borderId="6" xfId="0" applyAlignment="1">
      <x:alignment vertical="top" wrapText="1"/>
    </x:xf>
    <x:xf numFmtId="170" fontId="0" fillId="0" borderId="6" xfId="0" applyAlignment="1">
      <x:alignment vertical="top" wrapText="1"/>
    </x:xf>
    <x:xf numFmtId="166" fontId="0" fillId="0" borderId="9" xfId="0" applyAlignment="1">
      <x:alignment vertical="top" wrapText="1"/>
    </x:xf>
    <x:xf numFmtId="167" fontId="0" fillId="0" borderId="9" xfId="0" applyAlignment="1">
      <x:alignment vertical="top" wrapText="1"/>
    </x:xf>
    <x:xf numFmtId="169" fontId="0" fillId="0" borderId="9" xfId="0" applyAlignment="1">
      <x:alignment vertical="top" wrapText="1"/>
    </x:xf>
    <x:xf numFmtId="168" fontId="0" fillId="0" borderId="9" xfId="0" applyAlignment="1">
      <x:alignment vertical="top" wrapText="1"/>
    </x:xf>
    <x:xf numFmtId="170" fontId="0" fillId="0" borderId="9" xfId="0" applyAlignment="1">
      <x:alignment vertical="top" wrapText="1"/>
    </x:xf>
    <x:xf numFmtId="9" fontId="3" fillId="10" borderId="0" xfId="0" applyAlignment="1">
      <x:alignment horizontal="center"/>
    </x:xf>
    <x:xf numFmtId="170" fontId="0" fillId="0" borderId="3" xfId="0"/>
    <x:xf numFmtId="164" fontId="0" fillId="0" borderId="4" xfId="0"/>
    <x:xf numFmtId="170" fontId="0" fillId="0" borderId="6" xfId="0"/>
    <x:xf numFmtId="164" fontId="0" fillId="0" borderId="7" xfId="0"/>
    <x:xf numFmtId="170" fontId="0" fillId="0" borderId="9" xfId="0"/>
    <x:xf numFmtId="164" fontId="0" fillId="0" borderId="10" xfId="0"/>
    <x:xf numFmtId="166" fontId="6" fillId="0" borderId="3" xfId="0" applyAlignment="1">
      <x:alignment vertical="top" wrapText="1"/>
    </x:xf>
    <x:xf numFmtId="164" fontId="6" fillId="0" borderId="3" xfId="0" applyAlignment="1">
      <x:alignment vertical="top" wrapText="1"/>
    </x:xf>
    <x:xf numFmtId="166" fontId="7" fillId="0" borderId="3" xfId="0" applyAlignment="1">
      <x:alignment vertical="top" wrapText="1"/>
    </x:xf>
    <x:xf numFmtId="167" fontId="6" fillId="0" borderId="3" xfId="0" applyAlignment="1">
      <x:alignment vertical="top" wrapText="1"/>
    </x:xf>
    <x:xf numFmtId="167" fontId="7" fillId="0" borderId="3" xfId="0" applyAlignment="1">
      <x:alignment vertical="top" wrapText="1"/>
    </x:xf>
    <x:xf numFmtId="168" fontId="8" fillId="0" borderId="3" xfId="0" applyAlignment="1">
      <x:alignment vertical="top" wrapText="1"/>
    </x:xf>
    <x:xf numFmtId="168" fontId="7" fillId="0" borderId="3" xfId="0" applyAlignment="1">
      <x:alignment vertical="top" wrapText="1"/>
    </x:xf>
    <x:xf numFmtId="168" fontId="6" fillId="0" borderId="3" xfId="0" applyAlignment="1">
      <x:alignment vertical="top" wrapText="1"/>
    </x:xf>
    <x:xf numFmtId="169" fontId="7" fillId="0" borderId="3" xfId="0" applyAlignment="1">
      <x:alignment vertical="top" wrapText="1"/>
    </x:xf>
    <x:xf numFmtId="169" fontId="6" fillId="0" borderId="3" xfId="0" applyAlignment="1">
      <x:alignment vertical="top" wrapText="1"/>
    </x:xf>
    <x:xf numFmtId="170" fontId="7" fillId="0" borderId="3" xfId="0" applyAlignment="1">
      <x:alignment vertical="top" wrapText="1"/>
    </x:xf>
    <x:xf numFmtId="166" fontId="6" fillId="0" borderId="6" xfId="0" applyAlignment="1">
      <x:alignment vertical="top" wrapText="1"/>
    </x:xf>
    <x:xf numFmtId="164" fontId="6" fillId="0" borderId="6" xfId="0" applyAlignment="1">
      <x:alignment vertical="top" wrapText="1"/>
    </x:xf>
    <x:xf numFmtId="166" fontId="7" fillId="0" borderId="6" xfId="0" applyAlignment="1">
      <x:alignment vertical="top" wrapText="1"/>
    </x:xf>
    <x:xf numFmtId="167" fontId="6" fillId="0" borderId="6" xfId="0" applyAlignment="1">
      <x:alignment vertical="top" wrapText="1"/>
    </x:xf>
    <x:xf numFmtId="167" fontId="7" fillId="0" borderId="6" xfId="0" applyAlignment="1">
      <x:alignment vertical="top" wrapText="1"/>
    </x:xf>
    <x:xf numFmtId="168" fontId="8" fillId="0" borderId="6" xfId="0" applyAlignment="1">
      <x:alignment vertical="top" wrapText="1"/>
    </x:xf>
    <x:xf numFmtId="168" fontId="7" fillId="0" borderId="6" xfId="0" applyAlignment="1">
      <x:alignment vertical="top" wrapText="1"/>
    </x:xf>
    <x:xf numFmtId="168" fontId="6" fillId="0" borderId="6" xfId="0" applyAlignment="1">
      <x:alignment vertical="top" wrapText="1"/>
    </x:xf>
    <x:xf numFmtId="169" fontId="7" fillId="0" borderId="6" xfId="0" applyAlignment="1">
      <x:alignment vertical="top" wrapText="1"/>
    </x:xf>
    <x:xf numFmtId="169" fontId="6" fillId="0" borderId="6" xfId="0" applyAlignment="1">
      <x:alignment vertical="top" wrapText="1"/>
    </x:xf>
    <x:xf numFmtId="170" fontId="7" fillId="0" borderId="6" xfId="0" applyAlignment="1">
      <x:alignment vertical="top" wrapText="1"/>
    </x:xf>
    <x:xf numFmtId="166" fontId="6" fillId="0" borderId="9" xfId="0" applyAlignment="1">
      <x:alignment vertical="top" wrapText="1"/>
    </x:xf>
    <x:xf numFmtId="164" fontId="6" fillId="0" borderId="9" xfId="0" applyAlignment="1">
      <x:alignment vertical="top" wrapText="1"/>
    </x:xf>
    <x:xf numFmtId="166" fontId="7" fillId="0" borderId="9" xfId="0" applyAlignment="1">
      <x:alignment vertical="top" wrapText="1"/>
    </x:xf>
    <x:xf numFmtId="167" fontId="6" fillId="0" borderId="9" xfId="0" applyAlignment="1">
      <x:alignment vertical="top" wrapText="1"/>
    </x:xf>
    <x:xf numFmtId="167" fontId="7" fillId="0" borderId="9" xfId="0" applyAlignment="1">
      <x:alignment vertical="top" wrapText="1"/>
    </x:xf>
    <x:xf numFmtId="168" fontId="8" fillId="0" borderId="9" xfId="0" applyAlignment="1">
      <x:alignment vertical="top" wrapText="1"/>
    </x:xf>
    <x:xf numFmtId="168" fontId="7" fillId="0" borderId="9" xfId="0" applyAlignment="1">
      <x:alignment vertical="top" wrapText="1"/>
    </x:xf>
    <x:xf numFmtId="168" fontId="6" fillId="0" borderId="9" xfId="0" applyAlignment="1">
      <x:alignment vertical="top" wrapText="1"/>
    </x:xf>
    <x:xf numFmtId="169" fontId="7" fillId="0" borderId="9" xfId="0" applyAlignment="1">
      <x:alignment vertical="top" wrapText="1"/>
    </x:xf>
    <x:xf numFmtId="169" fontId="6" fillId="0" borderId="9" xfId="0" applyAlignment="1">
      <x:alignment vertical="top" wrapText="1"/>
    </x:xf>
    <x:xf numFmtId="170" fontId="7" fillId="0" borderId="9" xfId="0" applyAlignment="1">
      <x:alignment vertical="top" wrapText="1"/>
    </x:xf>
    <x:xf numFmtId="0" fontId="9" fillId="11" borderId="1" xfId="0" applyAlignment="1">
      <x:alignment wrapText="1"/>
    </x:xf>
    <x:xf numFmtId="0" fontId="4" fillId="14" borderId="1" xfId="0" applyAlignment="1">
      <x:alignment horizontal="center" vertical="center"/>
    </x:xf>
    <x:xf numFmtId="164" fontId="0" fillId="0" borderId="0" xfId="0"/>
    <x:xf numFmtId="165" fontId="0" fillId="0" borderId="0" xfId="0"/>
    <x:xf numFmtId="164" fontId="0" fillId="17" borderId="0" xfId="0"/>
    <x:xf numFmtId="165" fontId="0" fillId="18" borderId="0" xfId="0"/>
    <x:xf numFmtId="3" fontId="0" fillId="18" borderId="0" xfId="0"/>
    <x:xf numFmtId="164" fontId="0" fillId="18" borderId="0" xfId="0"/>
    <x:xf numFmtId="0" fontId="2" fillId="16" borderId="1" xfId="0"/>
    <x:xf numFmtId="0" fontId="0" fillId="19" borderId="1" xfId="0" applyAlignment="1">
      <x:alignment wrapText="1"/>
    </x:xf>
    <x:xf numFmtId="0" fontId="3" fillId="21" borderId="1" xfId="0" applyAlignment="1">
      <x:alignment horizontal="left" vertical="center"/>
    </x:xf>
    <x:xf numFmtId="168" fontId="8" fillId="0" borderId="0" xfId="0" applyAlignment="1">
      <x:alignment wrapText="1"/>
    </x:xf>
    <x:xf numFmtId="169" fontId="8" fillId="0" borderId="0" xfId="0" applyAlignment="1">
      <x:alignment wrapText="1"/>
    </x:xf>
    <x:xf numFmtId="10" fontId="8" fillId="0" borderId="0" xfId="0" applyAlignment="1">
      <x:alignment wrapText="1"/>
    </x:xf>
    <x:xf numFmtId="10" fontId="6" fillId="22" borderId="15" xfId="0" applyAlignment="1">
      <x:alignment vertical="center" wrapText="1"/>
    </x:xf>
    <x:xf numFmtId="173" fontId="8" fillId="26" borderId="15" xfId="0" applyAlignment="1">
      <x:alignment vertical="center" wrapText="1"/>
    </x:xf>
    <x:xf numFmtId="10" fontId="7" fillId="0" borderId="15" xfId="0" applyAlignment="1">
      <x:alignment vertical="center" wrapText="1"/>
    </x:xf>
    <x:xf numFmtId="4" fontId="6" fillId="22" borderId="15" xfId="0" applyAlignment="1">
      <x:alignment vertical="center" wrapText="1"/>
    </x:xf>
    <x:xf numFmtId="4" fontId="8" fillId="0" borderId="15" xfId="0" applyAlignment="1">
      <x:alignment vertical="center" wrapText="1"/>
    </x:xf>
    <x:xf numFmtId="169" fontId="8" fillId="26" borderId="15" xfId="0" applyAlignment="1">
      <x:alignment vertical="center" wrapText="1"/>
    </x:xf>
    <x:xf numFmtId="10" fontId="8" fillId="0" borderId="15" xfId="0" applyAlignment="1">
      <x:alignment vertical="center" wrapText="1"/>
    </x:xf>
    <x:xf numFmtId="171" fontId="8" fillId="0" borderId="15" xfId="0" applyAlignment="1">
      <x:alignment vertical="center" wrapText="1"/>
    </x:xf>
    <x:xf numFmtId="173" fontId="8" fillId="26" borderId="15" xfId="0" applyAlignment="1">
      <x:alignment vertical="center"/>
    </x:xf>
    <x:xf numFmtId="173" fontId="12" fillId="26" borderId="15" xfId="0" applyAlignment="1">
      <x:alignment horizontal="center" vertical="center" wrapText="1"/>
    </x:xf>
    <x:xf numFmtId="3" fontId="6" fillId="25" borderId="15" xfId="0" applyAlignment="1">
      <x:alignment vertical="center" wrapText="1"/>
    </x:xf>
    <x:xf numFmtId="174" fontId="8" fillId="26" borderId="15" xfId="0" applyAlignment="1">
      <x:alignment vertical="center" wrapText="1"/>
    </x:xf>
    <x:xf numFmtId="169" fontId="8" fillId="26" borderId="15" xfId="0" applyAlignment="1">
      <x:alignment vertical="center"/>
    </x:xf>
    <x:xf numFmtId="174" fontId="8" fillId="26" borderId="18" xfId="0" applyAlignment="1">
      <x:alignment vertical="center" wrapText="1"/>
    </x:xf>
    <x:xf numFmtId="173" fontId="0" fillId="0" borderId="15" xfId="0"/>
    <x:xf numFmtId="169" fontId="0" fillId="0" borderId="15" xfId="0"/>
    <x:xf numFmtId="173" fontId="0" fillId="0" borderId="18" xfId="0"/>
    <x:xf numFmtId="169" fontId="0" fillId="0" borderId="18" xfId="0"/>
    <x:xf numFmtId="0" fontId="16" fillId="24" borderId="14" xfId="0" applyAlignment="1">
      <x:alignment horizontal="center" vertical="center" wrapText="1"/>
    </x:xf>
    <x:xf numFmtId="0" fontId="16" fillId="24" borderId="15" xfId="0" applyAlignment="1">
      <x:alignment horizontal="center" vertical="center" wrapText="1"/>
    </x:xf>
    <x:xf numFmtId="0" fontId="16" fillId="24" borderId="16" xfId="0" applyAlignment="1">
      <x:alignment horizontal="center" vertical="center" wrapText="1"/>
    </x:xf>
    <x:xf numFmtId="0" fontId="13" fillId="0" borderId="20" xfId="0" applyAlignment="1">
      <x:alignment vertical="center" wrapText="1"/>
    </x:xf>
    <x:xf numFmtId="0" fontId="0" fillId="0" borderId="20" xfId="0" applyAlignment="1">
      <x:alignment vertical="center" wrapText="1"/>
    </x:xf>
    <x:xf numFmtId="0" fontId="14" fillId="26" borderId="20" xfId="0" applyAlignment="1">
      <x:alignment vertical="center" wrapText="1"/>
    </x:xf>
    <x:xf numFmtId="173" fontId="14" fillId="26" borderId="20" xfId="0" applyAlignment="1">
      <x:alignment vertical="center" wrapText="1"/>
    </x:xf>
    <x:xf numFmtId="0" fontId="3" fillId="0" borderId="20" xfId="0" applyAlignment="1">
      <x:alignment vertical="center" wrapText="1"/>
    </x:xf>
    <x:xf numFmtId="1" fontId="15" fillId="25" borderId="20" xfId="0" applyAlignment="1">
      <x:alignment vertical="center" wrapText="1"/>
    </x:xf>
    <x:xf numFmtId="1" fontId="14" fillId="26" borderId="20" xfId="0" applyAlignment="1">
      <x:alignment vertical="center" wrapText="1"/>
    </x:xf>
    <x:xf numFmtId="169" fontId="14" fillId="26" borderId="20" xfId="0" applyAlignment="1">
      <x:alignment vertical="center" wrapText="1"/>
    </x:xf>
    <x:xf numFmtId="174" fontId="14" fillId="26" borderId="20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164" fontId="0" fillId="5" borderId="0" xfId="0" applyNumberFormat="1" applyFont="1" applyFill="1" applyBorder="1" applyAlignment="1">
      <x:alignment wrapText="1"/>
    </x:xf>
    <x:xf numFmtId="4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 applyAlignment="1">
      <x:alignment wrapText="1"/>
    </x:xf>
    <x:xf numFmtId="4" fontId="2" fillId="3" borderId="0" xfId="0" applyNumberFormat="1" applyFont="1" applyFill="1" applyBorder="1" applyAlignment="1">
      <x:alignment wrapText="1"/>
    </x:xf>
    <x:xf numFmtId="4" fontId="0" fillId="6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0" fillId="6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5" fontId="0" fillId="6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/>
    <x:xf numFmtId="2" fontId="3" fillId="4" borderId="0" xfId="0" applyNumberFormat="1" applyFont="1" applyFill="1" applyBorder="1" applyAlignment="1">
      <x:alignment horizontal="center"/>
    </x:xf>
    <x:xf numFmtId="3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166" fontId="6" fillId="0" borderId="3" xfId="0" applyNumberFormat="1" applyFont="1" applyFill="1" applyBorder="1" applyAlignment="1">
      <x:alignment vertical="top" wrapText="1"/>
    </x:xf>
    <x:xf numFmtId="166" fontId="6" fillId="0" borderId="6" xfId="0" applyNumberFormat="1" applyFont="1" applyFill="1" applyBorder="1" applyAlignment="1">
      <x:alignment vertical="top" wrapText="1"/>
    </x:xf>
    <x:xf numFmtId="166" fontId="6" fillId="0" borderId="9" xfId="0" applyNumberFormat="1" applyFont="1" applyFill="1" applyBorder="1" applyAlignment="1">
      <x:alignment vertical="top" wrapText="1"/>
    </x:xf>
    <x:xf numFmtId="164" fontId="6" fillId="0" borderId="3" xfId="0" applyNumberFormat="1" applyFont="1" applyFill="1" applyBorder="1" applyAlignment="1">
      <x:alignment vertical="top" wrapText="1"/>
    </x:xf>
    <x:xf numFmtId="164" fontId="6" fillId="0" borderId="6" xfId="0" applyNumberFormat="1" applyFont="1" applyFill="1" applyBorder="1" applyAlignment="1">
      <x:alignment vertical="top" wrapText="1"/>
    </x:xf>
    <x:xf numFmtId="164" fontId="6" fillId="0" borderId="9" xfId="0" applyNumberFormat="1" applyFont="1" applyFill="1" applyBorder="1" applyAlignment="1">
      <x:alignment vertical="top" wrapText="1"/>
    </x:xf>
    <x:xf numFmtId="166" fontId="7" fillId="0" borderId="3" xfId="0" applyNumberFormat="1" applyFont="1" applyFill="1" applyBorder="1" applyAlignment="1">
      <x:alignment vertical="top" wrapText="1"/>
    </x:xf>
    <x:xf numFmtId="166" fontId="7" fillId="0" borderId="6" xfId="0" applyNumberFormat="1" applyFont="1" applyFill="1" applyBorder="1" applyAlignment="1">
      <x:alignment vertical="top" wrapText="1"/>
    </x:xf>
    <x:xf numFmtId="166" fontId="7" fillId="0" borderId="9" xfId="0" applyNumberFormat="1" applyFont="1" applyFill="1" applyBorder="1" applyAlignment="1">
      <x:alignment vertical="top" wrapText="1"/>
    </x:xf>
    <x:xf numFmtId="167" fontId="6" fillId="0" borderId="3" xfId="0" applyNumberFormat="1" applyFont="1" applyFill="1" applyBorder="1" applyAlignment="1">
      <x:alignment vertical="top" wrapText="1"/>
    </x:xf>
    <x:xf numFmtId="167" fontId="7" fillId="0" borderId="3" xfId="0" applyNumberFormat="1" applyFont="1" applyFill="1" applyBorder="1" applyAlignment="1">
      <x:alignment vertical="top" wrapText="1"/>
    </x:xf>
    <x:xf numFmtId="167" fontId="6" fillId="0" borderId="6" xfId="0" applyNumberFormat="1" applyFont="1" applyFill="1" applyBorder="1" applyAlignment="1">
      <x:alignment vertical="top" wrapText="1"/>
    </x:xf>
    <x:xf numFmtId="167" fontId="7" fillId="0" borderId="6" xfId="0" applyNumberFormat="1" applyFont="1" applyFill="1" applyBorder="1" applyAlignment="1">
      <x:alignment vertical="top" wrapText="1"/>
    </x:xf>
    <x:xf numFmtId="167" fontId="6" fillId="0" borderId="9" xfId="0" applyNumberFormat="1" applyFont="1" applyFill="1" applyBorder="1" applyAlignment="1">
      <x:alignment vertical="top" wrapText="1"/>
    </x:xf>
    <x:xf numFmtId="167" fontId="7" fillId="0" borderId="9" xfId="0" applyNumberFormat="1" applyFont="1" applyFill="1" applyBorder="1" applyAlignment="1">
      <x:alignment vertical="top" wrapText="1"/>
    </x:xf>
    <x:xf numFmtId="168" fontId="8" fillId="0" borderId="3" xfId="0" applyNumberFormat="1" applyFont="1" applyFill="1" applyBorder="1" applyAlignment="1">
      <x:alignment vertical="top" wrapText="1"/>
    </x:xf>
    <x:xf numFmtId="168" fontId="7" fillId="0" borderId="3" xfId="0" applyNumberFormat="1" applyFont="1" applyFill="1" applyBorder="1" applyAlignment="1">
      <x:alignment vertical="top" wrapText="1"/>
    </x:xf>
    <x:xf numFmtId="168" fontId="8" fillId="0" borderId="6" xfId="0" applyNumberFormat="1" applyFont="1" applyFill="1" applyBorder="1" applyAlignment="1">
      <x:alignment vertical="top" wrapText="1"/>
    </x:xf>
    <x:xf numFmtId="168" fontId="7" fillId="0" borderId="6" xfId="0" applyNumberFormat="1" applyFont="1" applyFill="1" applyBorder="1" applyAlignment="1">
      <x:alignment vertical="top" wrapText="1"/>
    </x:xf>
    <x:xf numFmtId="168" fontId="8" fillId="0" borderId="9" xfId="0" applyNumberFormat="1" applyFont="1" applyFill="1" applyBorder="1" applyAlignment="1">
      <x:alignment vertical="top" wrapText="1"/>
    </x:xf>
    <x:xf numFmtId="168" fontId="7" fillId="0" borderId="9" xfId="0" applyNumberFormat="1" applyFont="1" applyFill="1" applyBorder="1" applyAlignment="1">
      <x:alignment vertical="top" wrapText="1"/>
    </x:xf>
    <x:xf numFmtId="168" fontId="6" fillId="0" borderId="3" xfId="0" applyNumberFormat="1" applyFont="1" applyFill="1" applyBorder="1" applyAlignment="1">
      <x:alignment vertical="top" wrapText="1"/>
    </x:xf>
    <x:xf numFmtId="168" fontId="6" fillId="0" borderId="6" xfId="0" applyNumberFormat="1" applyFont="1" applyFill="1" applyBorder="1" applyAlignment="1">
      <x:alignment vertical="top" wrapText="1"/>
    </x:xf>
    <x:xf numFmtId="168" fontId="6" fillId="0" borderId="9" xfId="0" applyNumberFormat="1" applyFont="1" applyFill="1" applyBorder="1" applyAlignment="1">
      <x:alignment vertical="top" wrapText="1"/>
    </x:xf>
    <x:xf numFmtId="169" fontId="7" fillId="0" borderId="3" xfId="0" applyNumberFormat="1" applyFont="1" applyFill="1" applyBorder="1" applyAlignment="1">
      <x:alignment vertical="top" wrapText="1"/>
    </x:xf>
    <x:xf numFmtId="169" fontId="6" fillId="0" borderId="3" xfId="0" applyNumberFormat="1" applyFont="1" applyFill="1" applyBorder="1" applyAlignment="1">
      <x:alignment vertical="top" wrapText="1"/>
    </x:xf>
    <x:xf numFmtId="169" fontId="7" fillId="0" borderId="6" xfId="0" applyNumberFormat="1" applyFont="1" applyFill="1" applyBorder="1" applyAlignment="1">
      <x:alignment vertical="top" wrapText="1"/>
    </x:xf>
    <x:xf numFmtId="169" fontId="6" fillId="0" borderId="6" xfId="0" applyNumberFormat="1" applyFont="1" applyFill="1" applyBorder="1" applyAlignment="1">
      <x:alignment vertical="top" wrapText="1"/>
    </x:xf>
    <x:xf numFmtId="169" fontId="7" fillId="0" borderId="9" xfId="0" applyNumberFormat="1" applyFont="1" applyFill="1" applyBorder="1" applyAlignment="1">
      <x:alignment vertical="top" wrapText="1"/>
    </x:xf>
    <x:xf numFmtId="169" fontId="6" fillId="0" borderId="9" xfId="0" applyNumberFormat="1" applyFont="1" applyFill="1" applyBorder="1" applyAlignment="1">
      <x:alignment vertical="top" wrapText="1"/>
    </x:xf>
    <x:xf numFmtId="170" fontId="7" fillId="0" borderId="3" xfId="0" applyNumberFormat="1" applyFont="1" applyFill="1" applyBorder="1" applyAlignment="1">
      <x:alignment vertical="top" wrapText="1"/>
    </x:xf>
    <x:xf numFmtId="170" fontId="7" fillId="0" borderId="6" xfId="0" applyNumberFormat="1" applyFont="1" applyFill="1" applyBorder="1" applyAlignment="1">
      <x:alignment vertical="top" wrapText="1"/>
    </x:xf>
    <x:xf numFmtId="170" fontId="7" fillId="0" borderId="9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166" fontId="0" fillId="0" borderId="3" xfId="0" applyNumberFormat="1" applyFont="1" applyFill="1" applyBorder="1" applyAlignment="1">
      <x:alignment vertical="top" wrapText="1"/>
    </x:xf>
    <x:xf numFmtId="166" fontId="0" fillId="0" borderId="6" xfId="0" applyNumberFormat="1" applyFont="1" applyFill="1" applyBorder="1" applyAlignment="1">
      <x:alignment vertical="top" wrapText="1"/>
    </x:xf>
    <x:xf numFmtId="166" fontId="0" fillId="0" borderId="9" xfId="0" applyNumberFormat="1" applyFont="1" applyFill="1" applyBorder="1" applyAlignment="1">
      <x:alignment vertical="top" wrapText="1"/>
    </x:xf>
    <x:xf numFmtId="167" fontId="0" fillId="0" borderId="3" xfId="0" applyNumberFormat="1" applyFont="1" applyFill="1" applyBorder="1" applyAlignment="1">
      <x:alignment vertical="top" wrapText="1"/>
    </x:xf>
    <x:xf numFmtId="167" fontId="0" fillId="0" borderId="6" xfId="0" applyNumberFormat="1" applyFont="1" applyFill="1" applyBorder="1" applyAlignment="1">
      <x:alignment vertical="top" wrapText="1"/>
    </x:xf>
    <x:xf numFmtId="167" fontId="0" fillId="0" borderId="9" xfId="0" applyNumberFormat="1" applyFont="1" applyFill="1" applyBorder="1" applyAlignment="1">
      <x:alignment vertical="top" wrapText="1"/>
    </x:xf>
    <x:xf numFmtId="169" fontId="0" fillId="0" borderId="3" xfId="0" applyNumberFormat="1" applyFont="1" applyFill="1" applyBorder="1" applyAlignment="1">
      <x:alignment vertical="top" wrapText="1"/>
    </x:xf>
    <x:xf numFmtId="169" fontId="0" fillId="0" borderId="6" xfId="0" applyNumberFormat="1" applyFont="1" applyFill="1" applyBorder="1" applyAlignment="1">
      <x:alignment vertical="top" wrapText="1"/>
    </x:xf>
    <x:xf numFmtId="169" fontId="0" fillId="0" borderId="9" xfId="0" applyNumberFormat="1" applyFont="1" applyFill="1" applyBorder="1" applyAlignment="1">
      <x:alignment vertical="top" wrapText="1"/>
    </x:xf>
    <x:xf numFmtId="168" fontId="0" fillId="0" borderId="3" xfId="0" applyNumberFormat="1" applyFont="1" applyFill="1" applyBorder="1" applyAlignment="1">
      <x:alignment vertical="top" wrapText="1"/>
    </x:xf>
    <x:xf numFmtId="168" fontId="0" fillId="0" borderId="6" xfId="0" applyNumberFormat="1" applyFont="1" applyFill="1" applyBorder="1" applyAlignment="1">
      <x:alignment vertical="top" wrapText="1"/>
    </x:xf>
    <x:xf numFmtId="168" fontId="0" fillId="0" borderId="9" xfId="0" applyNumberFormat="1" applyFont="1" applyFill="1" applyBorder="1" applyAlignment="1">
      <x:alignment vertical="top" wrapText="1"/>
    </x:xf>
    <x:xf numFmtId="170" fontId="0" fillId="0" borderId="3" xfId="0" applyNumberFormat="1" applyFont="1" applyFill="1" applyBorder="1" applyAlignment="1">
      <x:alignment vertical="top" wrapText="1"/>
    </x:xf>
    <x:xf numFmtId="170" fontId="0" fillId="0" borderId="6" xfId="0" applyNumberFormat="1" applyFont="1" applyFill="1" applyBorder="1" applyAlignment="1">
      <x:alignment vertical="top" wrapText="1"/>
    </x:xf>
    <x:xf numFmtId="170" fontId="0" fillId="0" borderId="9" xfId="0" applyNumberFormat="1" applyFont="1" applyFill="1" applyBorder="1" applyAlignment="1">
      <x:alignment vertical="top" wrapText="1"/>
    </x:xf>
    <x:xf numFmtId="9" fontId="3" fillId="4" borderId="0" xfId="0" applyNumberFormat="1" applyFont="1" applyFill="1" applyBorder="1" applyAlignment="1">
      <x:alignment horizontal="center"/>
    </x:xf>
    <x:xf numFmtId="170" fontId="0" fillId="0" borderId="3" xfId="0" applyNumberFormat="1" applyFont="1" applyFill="1" applyBorder="1"/>
    <x:xf numFmtId="170" fontId="0" fillId="0" borderId="6" xfId="0" applyNumberFormat="1" applyFont="1" applyFill="1" applyBorder="1"/>
    <x:xf numFmtId="170" fontId="0" fillId="0" borderId="9" xfId="0" applyNumberFormat="1" applyFont="1" applyFill="1" applyBorder="1"/>
    <x:xf numFmtId="164" fontId="0" fillId="0" borderId="4" xfId="0" applyNumberFormat="1" applyFont="1" applyFill="1" applyBorder="1"/>
    <x:xf numFmtId="164" fontId="0" fillId="0" borderId="7" xfId="0" applyNumberFormat="1" applyFont="1" applyFill="1" applyBorder="1"/>
    <x:xf numFmtId="164" fontId="0" fillId="0" borderId="1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12" borderId="0" xfId="0" applyNumberFormat="1" applyFont="1" applyFill="1" applyBorder="1"/>
    <x:xf numFmtId="1" fontId="2" fillId="12" borderId="0" xfId="0" applyNumberFormat="1" applyFont="1" applyFill="1" applyBorder="1"/>
    <x:xf numFmtId="2" fontId="0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64" fontId="0" fillId="11" borderId="0" xfId="0" applyNumberFormat="1" applyFont="1" applyFill="1" applyBorder="1"/>
    <x:xf numFmtId="164" fontId="0" fillId="6" borderId="0" xfId="0" applyNumberFormat="1" applyFont="1" applyFill="1" applyBorder="1"/>
    <x:xf numFmtId="165" fontId="0" fillId="0" borderId="0" xfId="0" applyNumberFormat="1" applyFont="1" applyFill="1" applyBorder="1"/>
    <x:xf numFmtId="165" fontId="0" fillId="6" borderId="0" xfId="0" applyNumberFormat="1" applyFont="1" applyFill="1" applyBorder="1"/>
    <x:xf numFmtId="3" fontId="0" fillId="6" borderId="0" xfId="0" applyNumberFormat="1" applyFont="1" applyFill="1" applyBorder="1"/>
    <x:xf numFmtId="4" fontId="0" fillId="7" borderId="0" xfId="0" applyNumberFormat="1" applyFont="1" applyFill="1" applyBorder="1" applyAlignment="1">
      <x:alignment wrapText="1"/>
    </x:xf>
    <x:xf numFmtId="4" fontId="5" fillId="7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4" fontId="2" fillId="6" borderId="0" xfId="0" applyNumberFormat="1" applyFont="1" applyFill="1" applyBorder="1" applyAlignment="1">
      <x:alignment wrapText="1"/>
    </x:xf>
    <x:xf numFmtId="165" fontId="2" fillId="6" borderId="0" xfId="0" applyNumberFormat="1" applyFont="1" applyFill="1" applyBorder="1" applyAlignment="1">
      <x:alignment wrapText="1"/>
    </x:xf>
    <x:xf numFmtId="3" fontId="0" fillId="6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left"/>
    </x:xf>
    <x:xf numFmtId="0" fontId="3" fillId="21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wrapText="1"/>
    </x:xf>
    <x:xf numFmtId="10" fontId="6" fillId="22" borderId="0" xfId="0" applyNumberFormat="1" applyFont="1" applyFill="1" applyBorder="1" applyAlignment="1">
      <x:alignment wrapText="1"/>
    </x:xf>
    <x:xf numFmtId="10" fontId="7" fillId="0" borderId="0" xfId="0" applyNumberFormat="1" applyFont="1" applyFill="1" applyBorder="1" applyAlignment="1">
      <x:alignment wrapText="1"/>
    </x:xf>
    <x:xf numFmtId="10" fontId="8" fillId="0" borderId="0" xfId="0" applyNumberFormat="1" applyFont="1" applyFill="1" applyBorder="1" applyAlignment="1">
      <x:alignment wrapText="1"/>
    </x:xf>
    <x:xf numFmtId="4" fontId="6" fillId="22" borderId="0" xfId="0" applyNumberFormat="1" applyFont="1" applyFill="1" applyBorder="1" applyAlignment="1">
      <x:alignment wrapText="1"/>
    </x:xf>
    <x:xf numFmtId="4" fontId="8" fillId="0" borderId="0" xfId="0" applyNumberFormat="1" applyFont="1" applyFill="1" applyBorder="1" applyAlignment="1">
      <x:alignment wrapText="1"/>
    </x:xf>
    <x:xf numFmtId="171" fontId="8" fillId="0" borderId="0" xfId="0" applyNumberFormat="1" applyFont="1" applyFill="1" applyBorder="1" applyAlignment="1">
      <x:alignment wrapText="1"/>
    </x:xf>
    <x:xf numFmtId="168" fontId="8" fillId="0" borderId="0" xfId="0" applyNumberFormat="1" applyFont="1" applyFill="1" applyBorder="1" applyAlignment="1">
      <x:alignment wrapText="1"/>
    </x:xf>
    <x:xf numFmtId="3" fontId="8" fillId="0" borderId="0" xfId="0" applyNumberFormat="1" applyFont="1" applyFill="1" applyBorder="1" applyAlignment="1">
      <x:alignment wrapText="1"/>
    </x:xf>
    <x:xf numFmtId="169" fontId="8" fillId="0" borderId="0" xfId="0" applyNumberFormat="1" applyFont="1" applyFill="1" applyBorder="1" applyAlignment="1">
      <x:alignment wrapText="1"/>
    </x:xf>
    <x:xf numFmtId="172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10" fontId="6" fillId="22" borderId="0" xfId="0" applyNumberFormat="1" applyFont="1" applyFill="1" applyBorder="1" applyAlignment="1">
      <x:alignment vertical="center" wrapText="1"/>
    </x:xf>
    <x:xf numFmtId="10" fontId="7" fillId="0" borderId="0" xfId="0" applyNumberFormat="1" applyFont="1" applyFill="1" applyBorder="1" applyAlignment="1">
      <x:alignment vertical="center" wrapText="1"/>
    </x:xf>
    <x:xf numFmtId="4" fontId="6" fillId="22" borderId="0" xfId="0" applyNumberFormat="1" applyFont="1" applyFill="1" applyBorder="1" applyAlignment="1">
      <x:alignment vertical="center" wrapText="1"/>
    </x:xf>
    <x:xf numFmtId="4" fontId="8" fillId="0" borderId="0" xfId="0" applyNumberFormat="1" applyFont="1" applyFill="1" applyBorder="1" applyAlignment="1">
      <x:alignment vertical="center" wrapText="1"/>
    </x:xf>
    <x:xf numFmtId="10" fontId="8" fillId="0" borderId="0" xfId="0" applyNumberFormat="1" applyFont="1" applyFill="1" applyBorder="1" applyAlignment="1">
      <x:alignment vertical="center" wrapText="1"/>
    </x:xf>
    <x:xf numFmtId="171" fontId="8" fillId="0" borderId="0" xfId="0" applyNumberFormat="1" applyFont="1" applyFill="1" applyBorder="1" applyAlignment="1">
      <x:alignment vertical="center" wrapText="1"/>
    </x:xf>
    <x:xf numFmtId="168" fontId="8" fillId="0" borderId="0" xfId="0" applyNumberFormat="1" applyFont="1" applyFill="1" applyBorder="1" applyAlignment="1">
      <x:alignment vertical="center" wrapText="1"/>
    </x:xf>
    <x:xf numFmtId="3" fontId="8" fillId="0" borderId="0" xfId="0" applyNumberFormat="1" applyFont="1" applyFill="1" applyBorder="1" applyAlignment="1">
      <x:alignment vertical="center" wrapText="1"/>
    </x:xf>
    <x:xf numFmtId="169" fontId="8" fillId="0" borderId="0" xfId="0" applyNumberFormat="1" applyFont="1" applyFill="1" applyBorder="1" applyAlignment="1">
      <x:alignment vertical="center" wrapText="1"/>
    </x:xf>
    <x:xf numFmtId="168" fontId="0" fillId="0" borderId="0" xfId="0" applyNumberFormat="1" applyFont="1" applyFill="1" applyBorder="1" applyAlignment="1">
      <x:alignment wrapText="1"/>
    </x:xf>
    <x:xf numFmtId="169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 wrapText="1"/>
    </x:xf>
    <x:xf numFmtId="0" fontId="11" fillId="22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 applyAlignment="1">
      <x:alignment vertical="center"/>
    </x:xf>
    <x:xf numFmtId="0" fontId="3" fillId="26" borderId="0" xfId="0" applyNumberFormat="1" applyFont="1" applyFill="1" applyBorder="1" applyAlignment="1">
      <x:alignment horizontal="left" vertical="center"/>
    </x:xf>
    <x:xf numFmtId="0" fontId="3" fillId="26" borderId="0" xfId="0" applyNumberFormat="1" applyFont="1" applyFill="1" applyBorder="1" applyAlignment="1">
      <x:alignment horizontal="center" vertical="center" wrapText="1"/>
    </x:xf>
    <x:xf numFmtId="168" fontId="8" fillId="26" borderId="0" xfId="0" applyNumberFormat="1" applyFont="1" applyFill="1" applyBorder="1" applyAlignment="1">
      <x:alignment vertical="center" wrapText="1"/>
    </x:xf>
    <x:xf numFmtId="3" fontId="8" fillId="26" borderId="0" xfId="0" applyNumberFormat="1" applyFont="1" applyFill="1" applyBorder="1" applyAlignment="1">
      <x:alignment vertical="center" wrapText="1"/>
    </x:xf>
    <x:xf numFmtId="169" fontId="8" fillId="26" borderId="0" xfId="0" applyNumberFormat="1" applyFont="1" applyFill="1" applyBorder="1" applyAlignment="1">
      <x:alignment vertical="center" wrapText="1"/>
    </x:xf>
    <x:xf numFmtId="10" fontId="8" fillId="26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vertical="center"/>
    </x:xf>
    <x:xf numFmtId="0" fontId="12" fillId="26" borderId="0" xfId="0" applyNumberFormat="1" applyFont="1" applyFill="1" applyBorder="1" applyAlignment="1">
      <x:alignment horizontal="left" vertical="center"/>
    </x:xf>
    <x:xf numFmtId="0" fontId="12" fillId="26" borderId="0" xfId="0" applyNumberFormat="1" applyFont="1" applyFill="1" applyBorder="1" applyAlignment="1">
      <x:alignment horizontal="center" vertical="center" wrapText="1"/>
    </x:xf>
    <x:xf numFmtId="3" fontId="8" fillId="22" borderId="0" xfId="0" applyNumberFormat="1" applyFont="1" applyFill="1" applyBorder="1" applyAlignment="1">
      <x:alignment vertical="center" wrapText="1"/>
    </x:xf>
    <x:xf numFmtId="3" fontId="6" fillId="22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left" vertical="center" wrapText="1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3" fillId="24" borderId="14" xfId="0" applyNumberFormat="1" applyFont="1" applyFill="1" applyBorder="1" applyAlignment="1">
      <x:alignment horizontal="center" vertical="center" wrapText="1"/>
    </x:xf>
    <x:xf numFmtId="0" fontId="3" fillId="24" borderId="15" xfId="0" applyNumberFormat="1" applyFont="1" applyFill="1" applyBorder="1" applyAlignment="1">
      <x:alignment horizontal="center" vertical="center" wrapText="1"/>
    </x:xf>
    <x:xf numFmtId="0" fontId="3" fillId="24" borderId="16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11" fillId="22" borderId="15" xfId="0" applyNumberFormat="1" applyFont="1" applyFill="1" applyBorder="1" applyAlignment="1">
      <x:alignment vertical="center" wrapText="1"/>
    </x:xf>
    <x:xf numFmtId="0" fontId="6" fillId="22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8" fillId="26" borderId="15" xfId="0" applyNumberFormat="1" applyFont="1" applyFill="1" applyBorder="1" applyAlignment="1">
      <x:alignment vertical="center" wrapText="1"/>
    </x:xf>
    <x:xf numFmtId="10" fontId="6" fillId="22" borderId="15" xfId="0" applyNumberFormat="1" applyFont="1" applyFill="1" applyBorder="1" applyAlignment="1">
      <x:alignment vertical="center" wrapText="1"/>
    </x:xf>
    <x:xf numFmtId="10" fontId="7" fillId="0" borderId="15" xfId="0" applyNumberFormat="1" applyFont="1" applyFill="1" applyBorder="1" applyAlignment="1">
      <x:alignment vertical="center" wrapText="1"/>
    </x:xf>
    <x:xf numFmtId="4" fontId="6" fillId="22" borderId="15" xfId="0" applyNumberFormat="1" applyFont="1" applyFill="1" applyBorder="1" applyAlignment="1">
      <x:alignment vertical="center" wrapText="1"/>
    </x:xf>
    <x:xf numFmtId="4" fontId="8" fillId="0" borderId="15" xfId="0" applyNumberFormat="1" applyFont="1" applyFill="1" applyBorder="1" applyAlignment="1">
      <x:alignment vertical="center" wrapText="1"/>
    </x:xf>
    <x:xf numFmtId="10" fontId="8" fillId="0" borderId="15" xfId="0" applyNumberFormat="1" applyFont="1" applyFill="1" applyBorder="1" applyAlignment="1">
      <x:alignment vertical="center" wrapText="1"/>
    </x:xf>
    <x:xf numFmtId="171" fontId="8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3" fillId="24" borderId="14" xfId="0" applyNumberFormat="1" applyFont="1" applyFill="1" applyBorder="1" applyAlignment="1">
      <x:alignment horizontal="center" vertical="center"/>
    </x:xf>
    <x:xf numFmtId="0" fontId="3" fillId="24" borderId="15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vertical="center"/>
    </x:xf>
    <x:xf numFmtId="0" fontId="8" fillId="26" borderId="15" xfId="0" applyNumberFormat="1" applyFont="1" applyFill="1" applyBorder="1" applyAlignment="1">
      <x:alignment vertical="center"/>
    </x:xf>
    <x:xf numFmtId="0" fontId="3" fillId="21" borderId="14" xfId="0" applyNumberFormat="1" applyFont="1" applyFill="1" applyBorder="1" applyAlignment="1">
      <x:alignment horizontal="left" vertical="center"/>
    </x:xf>
    <x:xf numFmtId="0" fontId="3" fillId="21" borderId="15" xfId="0" applyNumberFormat="1" applyFont="1" applyFill="1" applyBorder="1" applyAlignment="1">
      <x:alignment horizontal="left" vertical="center"/>
    </x:xf>
    <x:xf numFmtId="0" fontId="12" fillId="26" borderId="15" xfId="0" applyNumberFormat="1" applyFont="1" applyFill="1" applyBorder="1" applyAlignment="1">
      <x:alignment horizontal="left" vertical="center"/>
    </x:xf>
    <x:xf numFmtId="0" fontId="3" fillId="21" borderId="16" xfId="0" applyNumberFormat="1" applyFont="1" applyFill="1" applyBorder="1" applyAlignment="1">
      <x:alignment horizontal="left" vertical="center" wrapText="1"/>
    </x:xf>
    <x:xf numFmtId="0" fontId="3" fillId="20" borderId="14" xfId="0" applyNumberFormat="1" applyFont="1" applyFill="1" applyBorder="1" applyAlignment="1">
      <x:alignment horizontal="center" vertical="center" wrapText="1"/>
    </x:xf>
    <x:xf numFmtId="0" fontId="3" fillId="20" borderId="15" xfId="0" applyNumberFormat="1" applyFont="1" applyFill="1" applyBorder="1" applyAlignment="1">
      <x:alignment horizontal="center" vertical="center" wrapText="1"/>
    </x:xf>
    <x:xf numFmtId="0" fontId="12" fillId="26" borderId="15" xfId="0" applyNumberFormat="1" applyFont="1" applyFill="1" applyBorder="1" applyAlignment="1">
      <x:alignment horizontal="center" vertical="center" wrapText="1"/>
    </x:xf>
    <x:xf numFmtId="0" fontId="3" fillId="20" borderId="16" xfId="0" applyNumberFormat="1" applyFont="1" applyFill="1" applyBorder="1" applyAlignment="1">
      <x:alignment horizontal="center" vertical="center" wrapText="1"/>
    </x:xf>
    <x:xf numFmtId="168" fontId="8" fillId="26" borderId="15" xfId="0" applyNumberFormat="1" applyFont="1" applyFill="1" applyBorder="1" applyAlignment="1">
      <x:alignment vertical="center" wrapText="1"/>
    </x:xf>
    <x:xf numFmtId="3" fontId="6" fillId="22" borderId="15" xfId="0" applyNumberFormat="1" applyFont="1" applyFill="1" applyBorder="1" applyAlignment="1">
      <x:alignment vertical="center" wrapText="1"/>
    </x:xf>
    <x:xf numFmtId="169" fontId="8" fillId="26" borderId="15" xfId="0" applyNumberFormat="1" applyFont="1" applyFill="1" applyBorder="1" applyAlignment="1">
      <x:alignment vertical="center" wrapText="1"/>
    </x:xf>
    <x:xf numFmtId="10" fontId="8" fillId="26" borderId="15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8" fillId="26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173" fontId="8" fillId="26" borderId="15" xfId="0" applyNumberFormat="1" applyFont="1" applyFill="1" applyBorder="1" applyAlignment="1">
      <x:alignment vertical="center" wrapText="1"/>
    </x:xf>
    <x:xf numFmtId="173" fontId="12" fillId="26" borderId="15" xfId="0" applyNumberFormat="1" applyFont="1" applyFill="1" applyBorder="1" applyAlignment="1">
      <x:alignment horizontal="left" vertical="center"/>
    </x:xf>
    <x:xf numFmtId="173" fontId="8" fillId="26" borderId="15" xfId="0" applyNumberFormat="1" applyFont="1" applyFill="1" applyBorder="1" applyAlignment="1">
      <x:alignment vertical="center"/>
    </x:xf>
    <x:xf numFmtId="173" fontId="12" fillId="26" borderId="15" xfId="0" applyNumberFormat="1" applyFont="1" applyFill="1" applyBorder="1" applyAlignment="1">
      <x:alignment horizontal="center" vertical="center" wrapText="1"/>
    </x:xf>
    <x:xf numFmtId="174" fontId="8" fillId="26" borderId="15" xfId="0" applyNumberFormat="1" applyFont="1" applyFill="1" applyBorder="1" applyAlignment="1">
      <x:alignment vertical="center" wrapText="1"/>
    </x:xf>
    <x:xf numFmtId="169" fontId="8" fillId="26" borderId="15" xfId="0" applyNumberFormat="1" applyFont="1" applyFill="1" applyBorder="1" applyAlignment="1">
      <x:alignment vertical="center"/>
    </x:xf>
    <x:xf numFmtId="169" fontId="12" fillId="26" borderId="15" xfId="0" applyNumberFormat="1" applyFont="1" applyFill="1" applyBorder="1" applyAlignment="1">
      <x:alignment horizontal="left" vertical="center"/>
    </x:xf>
    <x:xf numFmtId="174" fontId="8" fillId="26" borderId="18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3" fillId="24" borderId="11" xfId="0" applyNumberFormat="1" applyFont="1" applyFill="1" applyBorder="1" applyAlignment="1">
      <x:alignment horizontal="center"/>
    </x:xf>
    <x:xf numFmtId="0" fontId="3" fillId="24" borderId="12" xfId="0" applyNumberFormat="1" applyFont="1" applyFill="1" applyBorder="1" applyAlignment="1">
      <x:alignment horizontal="center"/>
    </x:xf>
    <x:xf numFmtId="0" fontId="3" fillId="24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173" fontId="0" fillId="0" borderId="15" xfId="0" applyNumberFormat="1" applyFont="1" applyFill="1" applyBorder="1"/>
    <x:xf numFmtId="173" fontId="0" fillId="0" borderId="18" xfId="0" applyNumberFormat="1" applyFont="1" applyFill="1" applyBorder="1"/>
    <x:xf numFmtId="169" fontId="0" fillId="0" borderId="15" xfId="0" applyNumberFormat="1" applyFont="1" applyFill="1" applyBorder="1"/>
    <x:xf numFmtId="169" fontId="0" fillId="0" borderId="18" xfId="0" applyNumberFormat="1" applyFont="1" applyFill="1" applyBorder="1"/>
    <x:xf numFmtId="0" fontId="3" fillId="24" borderId="12" xfId="0" applyNumberFormat="1" applyFont="1" applyFill="1" applyBorder="1" applyAlignment="1">
      <x:alignment horizontal="center" wrapText="1"/>
    </x:xf>
    <x:xf numFmtId="0" fontId="3" fillId="24" borderId="13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4" fontId="0" fillId="26" borderId="0" xfId="0" applyNumberFormat="1" applyFont="1" applyFill="1" applyBorder="1" applyAlignment="1">
      <x:alignment wrapText="1"/>
    </x:xf>
    <x:xf numFmtId="4" fontId="8" fillId="26" borderId="0" xfId="0" applyNumberFormat="1" applyFont="1" applyFill="1" applyBorder="1" applyAlignment="1">
      <x:alignment wrapText="1"/>
    </x:xf>
    <x:xf numFmtId="164" fontId="0" fillId="26" borderId="0" xfId="0" applyNumberFormat="1" applyFont="1" applyFill="1" applyBorder="1" applyAlignment="1">
      <x:alignment wrapText="1"/>
    </x:xf>
    <x:xf numFmtId="164" fontId="8" fillId="26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24" borderId="11" xfId="0" applyNumberFormat="1" applyFont="1" applyFill="1" applyBorder="1"/>
    <x:xf numFmtId="0" fontId="0" fillId="24" borderId="14" xfId="0" applyNumberFormat="1" applyFont="1" applyFill="1" applyBorder="1"/>
    <x:xf numFmtId="0" fontId="0" fillId="24" borderId="17" xfId="0" applyNumberFormat="1" applyFont="1" applyFill="1" applyBorder="1"/>
    <x:xf numFmtId="0" fontId="3" fillId="24" borderId="11" xfId="0" applyNumberFormat="1" applyFont="1" applyFill="1" applyBorder="1"/>
    <x:xf numFmtId="0" fontId="3" fillId="24" borderId="14" xfId="0" applyNumberFormat="1" applyFont="1" applyFill="1" applyBorder="1"/>
    <x:xf numFmtId="0" fontId="3" fillId="24" borderId="17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6" fillId="24" borderId="14" xfId="0" applyNumberFormat="1" applyFont="1" applyFill="1" applyBorder="1" applyAlignment="1">
      <x:alignment horizontal="center" vertical="center" wrapText="1"/>
    </x:xf>
    <x:xf numFmtId="0" fontId="16" fillId="24" borderId="15" xfId="0" applyNumberFormat="1" applyFont="1" applyFill="1" applyBorder="1" applyAlignment="1">
      <x:alignment horizontal="center" vertical="center" wrapText="1"/>
    </x:xf>
    <x:xf numFmtId="0" fontId="16" fillId="24" borderId="16" xfId="0" applyNumberFormat="1" applyFont="1" applyFill="1" applyBorder="1" applyAlignment="1">
      <x:alignment horizontal="center" vertical="center" wrapText="1"/>
    </x:xf>
    <x:xf numFmtId="0" fontId="13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14" fillId="26" borderId="20" xfId="0" applyNumberFormat="1" applyFont="1" applyFill="1" applyBorder="1" applyAlignment="1">
      <x:alignment vertical="center" wrapText="1"/>
    </x:xf>
    <x:xf numFmtId="173" fontId="14" fillId="26" borderId="20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1" fontId="15" fillId="22" borderId="20" xfId="0" applyNumberFormat="1" applyFont="1" applyFill="1" applyBorder="1" applyAlignment="1">
      <x:alignment vertical="center" wrapText="1"/>
    </x:xf>
    <x:xf numFmtId="1" fontId="14" fillId="26" borderId="20" xfId="0" applyNumberFormat="1" applyFont="1" applyFill="1" applyBorder="1" applyAlignment="1">
      <x:alignment vertical="center" wrapText="1"/>
    </x:xf>
    <x:xf numFmtId="169" fontId="14" fillId="26" borderId="20" xfId="0" applyNumberFormat="1" applyFont="1" applyFill="1" applyBorder="1" applyAlignment="1">
      <x:alignment vertical="center" wrapText="1"/>
    </x:xf>
    <x:xf numFmtId="174" fontId="14" fillId="26" borderId="2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12" fillId="22" borderId="15" xfId="0" applyNumberFormat="1" applyFont="1" applyFill="1" applyBorder="1" applyAlignment="1">
      <x:alignment vertical="center" wrapText="1"/>
    </x:xf>
    <x:xf numFmtId="0" fontId="11" fillId="29" borderId="15" xfId="0" applyNumberFormat="1" applyFont="1" applyFill="1" applyBorder="1" applyAlignment="1">
      <x:alignment vertical="center" wrapText="1"/>
    </x:xf>
    <x:xf numFmtId="0" fontId="12" fillId="29" borderId="15" xfId="0" applyNumberFormat="1" applyFont="1" applyFill="1" applyBorder="1" applyAlignment="1">
      <x:alignment vertical="center" wrapText="1"/>
    </x:xf>
    <x:xf numFmtId="200" fontId="8" fillId="26" borderId="15" xfId="0" applyNumberFormat="1" applyFont="1" applyFill="1" applyBorder="1" applyAlignment="1">
      <x:alignment vertical="center" wrapText="1"/>
    </x:xf>
    <x:xf numFmtId="201" fontId="8" fillId="26" borderId="15" xfId="0" applyNumberFormat="1" applyFont="1" applyFill="1" applyBorder="1" applyAlignment="1">
      <x:alignment vertical="center" wrapText="1"/>
    </x:xf>
    <x:xf numFmtId="200" fontId="14" fillId="26" borderId="20" xfId="0" applyNumberFormat="1" applyFont="1" applyFill="1" applyBorder="1" applyAlignment="1">
      <x:alignment vertical="center" wrapText="1"/>
    </x:xf>
    <x:xf numFmtId="202" fontId="15" fillId="22" borderId="20" xfId="0" applyNumberFormat="1" applyFont="1" applyFill="1" applyBorder="1" applyAlignment="1">
      <x:alignment vertical="center" wrapText="1"/>
    </x:xf>
    <x:xf numFmtId="202" fontId="14" fillId="26" borderId="20" xfId="0" applyNumberFormat="1" applyFont="1" applyFill="1" applyBorder="1" applyAlignment="1">
      <x:alignment vertical="center" wrapText="1"/>
    </x:xf>
    <x:xf numFmtId="201" fontId="14" fillId="26" borderId="20" xfId="0" applyNumberFormat="1" applyFont="1" applyFill="1" applyBorder="1" applyAlignment="1">
      <x:alignment vertical="center" wrapText="1"/>
    </x:xf>
    <x:xf numFmtId="165" fontId="14" fillId="26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c44b2074d4f37" /><Relationship Type="http://schemas.openxmlformats.org/officeDocument/2006/relationships/theme" Target="/xl/theme/theme1.xml" Id="Rf140f8c29cce4f22" /><Relationship Type="http://schemas.openxmlformats.org/officeDocument/2006/relationships/sharedStrings" Target="/xl/sharedStrings.xml" Id="R26e7feb494614796" /><Relationship Type="http://schemas.openxmlformats.org/officeDocument/2006/relationships/worksheet" Target="/xl/worksheets/sheet1.xml" Id="R4a7395db8c5540dc" /><Relationship Type="http://schemas.openxmlformats.org/officeDocument/2006/relationships/worksheet" Target="/xl/worksheets/sheet2.xml" Id="Rdcf13971e3b44cff" /><Relationship Type="http://schemas.openxmlformats.org/officeDocument/2006/relationships/worksheet" Target="/xl/worksheets/sheet3.xml" Id="R853987e74cc54c78" /><Relationship Type="http://schemas.openxmlformats.org/officeDocument/2006/relationships/worksheet" Target="/xl/worksheets/sheet4.xml" Id="Re81c2bc692de4996" /><Relationship Type="http://schemas.openxmlformats.org/officeDocument/2006/relationships/worksheet" Target="/xl/worksheets/sheet5.xml" Id="R1a0b91ee28ff45aa" /><Relationship Type="http://schemas.openxmlformats.org/officeDocument/2006/relationships/worksheet" Target="/xl/worksheets/sheet6.xml" Id="Rb3f27ad02e8b4a24" /><Relationship Type="http://schemas.openxmlformats.org/officeDocument/2006/relationships/worksheet" Target="/xl/worksheets/sheet7.xml" Id="Rd7c16929bb1446e9" /><Relationship Type="http://schemas.openxmlformats.org/officeDocument/2006/relationships/worksheet" Target="/xl/worksheets/sheet8.xml" Id="R16b5a19d6f004697" /><Relationship Type="http://schemas.openxmlformats.org/officeDocument/2006/relationships/worksheet" Target="/xl/worksheets/sheet9.xml" Id="Rc96b2944034145e6" /><Relationship Type="http://schemas.openxmlformats.org/officeDocument/2006/relationships/worksheet" Target="/xl/worksheets/sheet10.xml" Id="R839545aff89c4c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b352758f854054" /><Relationship Type="http://schemas.openxmlformats.org/officeDocument/2006/relationships/chart" Target="/xl/drawings/charts/chart2.xml" Id="Radfe2cde96ae48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a74aa188e6a4a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Long Distance EBIT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Break-even EUR/tonne-km</c:v>
          </c:tx>
          <c:spPr>
            <a:ln xmlns:a="http://schemas.openxmlformats.org/drawingml/2006/main">
              <a:prstDash val="solid"/>
            </a:ln>
          </c:spPr>
          <c:cat>
            <c:strRef>
              <c:f>'Sensitivity'!$A$34:$A$42</c:f>
              <c:strCache>
                <c:ptCount val="0"/>
              </c:strCache>
            </c:strRef>
          </c:cat>
          <c:val>
            <c:numRef>
              <c:f>'Sensitivity'!$H$34:$H$42</c:f>
              <c:numCache>
                <c:formatCode>€0.0000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rate by markup over break-even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LD final rate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Scenarios'!$L$4:$L$13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final rate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Scenarios'!$M$4:$M$13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b352758f854054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fe2cde96ae48e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74aa188e6a4a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f40bbd9ba5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47f9ac717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dc73771d5b6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2c2d26eb794e49b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3.779998779296875" style="60" customWidth="1"/>
    <x:col min="2" max="2" width="70" style="60" customWidth="1"/>
  </x:cols>
  <x:sheetData>
    <x:row r="1">
      <x:c r="A1" s="15" t="inlineStr">
        <x:is>
          <x:t xml:space="preserve">Break-even transport engine</x:t>
        </x:is>
      </x:c>
      <x:c r="B1" s="1" t="n"/>
      <x:c r="C1" s="1" t="n"/>
      <x:c r="D1" s="1" t="n"/>
    </x:row>
    <x:row r="2">
      <x:c r="A2" s="14" t="inlineStr">
        <x:is>
          <x:t xml:space="preserve">Purpose</x:t>
        </x:is>
      </x:c>
      <x:c r="B2" s="13" t="inlineStr">
        <x:is>
          <x:t xml:space="preserve">Calculate the loaded-km rate, utilisation and revenue required for break-even and target EBIT margin.</x:t>
        </x:is>
      </x:c>
      <x:c r="C2" s="13" t="str"/>
      <x:c r="D2" s="13" t="str"/>
    </x:row>
    <x:row r="3">
      <x:c r="A3" s="14" t="inlineStr">
        <x:is>
          <x:t xml:space="preserve">Model design</x:t>
        </x:is>
      </x:c>
      <x:c r="B3" s="13" t="inlineStr">
        <x:is>
          <x:t xml:space="preserve">Separates variable €/km costs from fixed annual costs, driver costs, structural overhead and optional platform/admin cost.</x:t>
        </x:is>
      </x:c>
      <x:c r="C3" s="13" t="str"/>
      <x:c r="D3" s="13" t="str"/>
    </x:row>
    <x:row r="4">
      <x:c r="A4" s="14" t="inlineStr">
        <x:is>
          <x:t xml:space="preserve">Improvement vs original sheet</x:t>
        </x:is>
      </x:c>
      <x:c r="B4" s="13" t="inlineStr">
        <x:is>
          <x:t xml:space="preserve">Driver taxes are calculated from salary using the tax percentage instead of a hardcoded daily tax value.</x:t>
        </x:is>
      </x:c>
      <x:c r="C4" s="13" t="str"/>
      <x:c r="D4" s="13" t="str"/>
    </x:row>
    <x:row r="5">
      <x:c r="A5" s="14" t="inlineStr">
        <x:is>
          <x:t xml:space="preserve">Key output</x:t>
        </x:is>
      </x:c>
      <x:c r="B5" s="13" t="inlineStr">
        <x:is>
          <x:t xml:space="preserve">Break-even price per loaded km, required price for target margin, break-even loaded km, break-even utilisation, EBIT and safety margin.</x:t>
        </x:is>
      </x:c>
      <x:c r="C5" s="13" t="str"/>
      <x:c r="D5" s="13" t="str"/>
    </x:row>
    <x:row r="6">
      <x:c r="A6" s="14" t="inlineStr">
        <x:is>
          <x:t xml:space="preserve">How to use</x:t>
        </x:is>
      </x:c>
      <x:c r="B6" s="13" t="inlineStr">
        <x:is>
          <x:t xml:space="preserve">Edit assumptions in Inputs. Review results in Engine. Use Sensitivity to test price and load factor.</x:t>
        </x:is>
      </x:c>
      <x:c r="C6" s="13" t="str"/>
      <x:c r="D6" s="13" t="str"/>
    </x:row>
    <x:row r="7">
      <x:c r="A7" s="14" t="inlineStr">
        <x:is>
          <x:t xml:space="preserve">Note</x:t>
        </x:is>
      </x:c>
      <x:c r="B7" s="13" t="inlineStr">
        <x:is>
          <x:t xml:space="preserve">Values are prefilled from the uploaded Vehicle1 and Vehicle2 sheets and can be overwritten.</x:t>
        </x:is>
      </x:c>
      <x:c r="C7" s="13" t="str"/>
      <x:c r="D7" s="13" t="str"/>
    </x:row>
    <x:row r="9">
      <x:c r="A9" s="381" t="inlineStr">
        <x:is>
          <x:t xml:space="preserve">Added in this version</x:t>
        </x:is>
      </x:c>
      <x:c r="B9" s="1" t="n"/>
    </x:row>
    <x:row r="10">
      <x:c r="A10" s="69" t="inlineStr">
        <x:is>
          <x:t xml:space="preserve">Vehicle Classes</x:t>
        </x:is>
      </x:c>
      <x:c r="B10" s="13" t="inlineStr">
        <x:is>
          <x:t xml:space="preserve">New editable assumption table covering van, rigid trucks, 40t/44t articulated vehicles and EMS/high-capacity 60t scenario.</x:t>
        </x:is>
      </x:c>
    </x:row>
    <x:row r="11">
      <x:c r="A11" s="69" t="inlineStr">
        <x:is>
          <x:t xml:space="preserve">Sensitivity</x:t>
        </x:is>
      </x:c>
      <x:c r="B11" s="13" t="inlineStr">
        <x:is>
          <x:t xml:space="preserve">New load-capability section compares break-even EUR/loaded-km and EUR/tonne-km by vehicle class.</x:t>
        </x:is>
      </x:c>
    </x:row>
    <x:row r="12">
      <x:c r="A12" s="69" t="inlineStr">
        <x:is>
          <x:t xml:space="preserve">Payload utilisation matrix</x:t>
        </x:is>
      </x:c>
      <x:c r="B12" s="13" t="inlineStr">
        <x:is>
          <x:t xml:space="preserve">Shows how underloading increases break-even EUR/tonne-km for the same truck type.</x:t>
        </x:is>
      </x:c>
    </x:row>
    <x:row r="13">
      <x:c r="A13" s="69" t="inlineStr">
        <x:is>
          <x:t xml:space="preserve">Regulatory caution</x:t>
        </x:is>
      </x:c>
      <x:c r="B13" s="13" t="inlineStr">
        <x:is>
          <x:t xml:space="preserve">40t/44t and EMS/high-capacity assumptions depend on the relevant country, route, axle configuration, and permit regime.</x:t>
        </x:is>
      </x:c>
    </x:row>
    <x:row r="14">
      <x:c r="A14" s="69" t="inlineStr">
        <x:is>
          <x:t xml:space="preserve">Sources</x:t>
        </x:is>
      </x:c>
      <x:c r="B14" s="13" t="inlineStr">
        <x:is>
          <x:t xml:space="preserve">Public source URLs are included on the Vehicle Classes sheet.</x:t>
        </x:is>
      </x:c>
    </x:row>
    <x:row r="15">
      <x:c r="A15" s="69" t="inlineStr">
        <x:is>
          <x:t xml:space="preserve">Model status</x:t>
        </x:is>
      </x:c>
      <x:c r="B15" s="13" t="inlineStr">
        <x:is>
          <x:t xml:space="preserve">Truck-class cost values are modelling assumptions and should be replaced with actual fleet quotes when available.</x:t>
        </x:is>
      </x:c>
    </x:row>
    <x:row r="16">
      <x:c r="A16" s="180" t="inlineStr">
        <x:is>
          <x:t xml:space="preserve">Daily km driver</x:t>
        </x:is>
      </x:c>
      <x:c r="B16" s="181" t="inlineStr">
        <x:is>
          <x:t xml:space="preserve">The model now asks for Daily km in Inputs row 2. Annual total km is calculated in Inputs row 28 as Daily km × Operating days, and the Engine uses that calculated annual value.</x:t>
        </x:is>
      </x:c>
    </x:row>
    <x:row r="17">
      <x:c r="A17" t="inlineStr">
        <x:is>
          <x:t xml:space="preserve">Pricing Scenarios</x:t>
        </x:is>
      </x:c>
      <x:c r="B17" t="inlineStr">
        <x:is>
          <x:t xml:space="preserve">Customer rate is now calculated after break-even as break-even price × selected markup. It is no longer entered in Inputs.</x:t>
        </x:is>
      </x:c>
    </x:row>
    <x:row r="18">
      <x:c r="A18" t="inlineStr">
        <x:is>
          <x:t xml:space="preserve">Pricing caution</x:t>
        </x:is>
      </x:c>
      <x:c r="B18" t="inlineStr">
        <x:is>
          <x:t xml:space="preserve">Markup over break-even and EBIT margin are not identical. The sheet includes a cross-check for the markup required to reach the target EBIT margin.</x:t>
        </x:is>
      </x:c>
    </x:row>
    <x:row r="19">
      <x:c r="A19" s="179" t="inlineStr">
        <x:is>
          <x:t xml:space="preserve">Company &amp; Tax Profile</x:t>
        </x:is>
      </x:c>
      <x:c r="B19" s="13" t="inlineStr">
        <x:is>
          <x:t xml:space="preserve">New layer for company type, VAT, business tax, and after-tax profitability.</x:t>
        </x:is>
      </x:c>
    </x:row>
    <x:row r="20">
      <x:c r="A20" s="179" t="inlineStr">
        <x:is>
          <x:t xml:space="preserve">Tax logic</x:t>
        </x:is>
      </x:c>
      <x:c r="B20" s="13" t="inlineStr">
        <x:is>
          <x:t xml:space="preserve">The engine remains pre-tax. VAT is shown separately and is not treated as revenue or profit.</x:t>
        </x:is>
      </x:c>
    </x:row>
    <x:row r="21">
      <x:c r="A21" s="179" t="inlineStr">
        <x:is>
          <x:t xml:space="preserve">Invoice rate</x:t>
        </x:is>
      </x:c>
      <x:c r="B21" s="13" t="inlineStr">
        <x:is>
          <x:t xml:space="preserve">Pricing Scenarios now shows both customer rate excl. VAT and invoice rate incl. VAT.</x:t>
        </x:is>
      </x:c>
    </x:row>
    <x:row r="22">
      <x:c r="A22" s="179" t="inlineStr">
        <x:is>
          <x:t xml:space="preserve">After-tax view</x:t>
        </x:is>
      </x:c>
      <x:c r="B22" s="13" t="inlineStr">
        <x:is>
          <x:t xml:space="preserve">Business tax is applied only to positive EBIT and produces after-tax profit and margin.</x:t>
        </x:is>
      </x:c>
    </x:row>
    <x:row r="23">
      <x:c r="A23" s="179" t="inlineStr">
        <x:is>
          <x:t xml:space="preserve">Important</x:t>
        </x:is>
      </x:c>
      <x:c r="B23" s="13" t="inlineStr">
        <x:is>
          <x:t xml:space="preserve">Replace default tax rates with local accountant/tax-advisor-confirmed values before commercial use.</x:t>
        </x:is>
      </x:c>
    </x:row>
    <x:row r="24">
      <x:c r="A24" s="179" t="inlineStr">
        <x:is>
          <x:t xml:space="preserve">Model design</x:t>
        </x:is>
      </x:c>
      <x:c r="B24" s="13" t="inlineStr">
        <x:is>
          <x:t xml:space="preserve">Operational break-even, commercial pricing, and tax treatment are now separated into distinct layers.</x:t>
        </x:is>
      </x:c>
    </x:row>
    <x:row r="25">
      <x:c r="A25" s="375" t="inlineStr">
        <x:is>
          <x:t xml:space="preserve">Cascade tax profile</x:t>
        </x:is>
      </x:c>
      <x:c r="B25" s="378" t="inlineStr">
        <x:is>
          <x:t xml:space="preserve">Company country / jurisdiction is now the master field. Company type and business model are dependent dropdowns.</x:t>
        </x:is>
      </x:c>
    </x:row>
    <x:row r="26">
      <x:c r="A26" s="376" t="inlineStr">
        <x:is>
          <x:t xml:space="preserve">Country rules</x:t>
        </x:is>
      </x:c>
      <x:c r="B26" s="379" t="inlineStr">
        <x:is>
          <x:t xml:space="preserve">Tax Rules contains VAT, corporate/business tax, local/trade tax, employer payroll contribution and default vehicle-tax placeholders with sources.</x:t>
        </x:is>
      </x:c>
    </x:row>
    <x:row r="27">
      <x:c r="A27" s="376" t="inlineStr">
        <x:is>
          <x:t xml:space="preserve">Prefilled inputs</x:t>
        </x:is>
      </x:c>
      <x:c r="B27" s="379" t="inlineStr">
        <x:is>
          <x:t xml:space="preserve">Inputs!Vehicle taxes annual and Inputs!Employer tax rate on salary now pull from Company &amp; Tax Profile.</x:t>
        </x:is>
      </x:c>
    </x:row>
    <x:row r="28">
      <x:c r="A28" s="377" t="inlineStr">
        <x:is>
          <x:t xml:space="preserve">Validation warning</x:t>
        </x:is>
      </x:c>
      <x:c r="B28" s="380" t="inlineStr">
        <x:is>
          <x:t xml:space="preserve">Country-level rates are for modelling and must be validated with local tax/legal/accounting advice before commercial usage.</x:t>
        </x:is>
      </x:c>
    </x:row>
  </x:sheetData>
  <x:mergeCells>
    <x:mergeCell ref="A9:B9"/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.940000534057617" style="60" customWidth="1"/>
    <x:col min="2" max="2" width="12.380000114440918" style="60" customWidth="1"/>
    <x:col min="3" max="3" width="14.399999618530273" style="60" customWidth="1"/>
    <x:col min="4" max="4" width="10.09000015258789" style="60" customWidth="1"/>
    <x:col min="5" max="5" width="36.34000015258789" style="60" customWidth="1"/>
  </x:cols>
  <x:sheetData>
    <x:row r="1">
      <x:c r="A1" s="24" t="inlineStr">
        <x:is>
          <x:t xml:space="preserve">Input</x:t>
        </x:is>
      </x:c>
      <x:c r="B1" s="24" t="inlineStr">
        <x:is>
          <x:t xml:space="preserve">Unit</x:t>
        </x:is>
      </x:c>
      <x:c r="C1" s="24" t="inlineStr">
        <x:is>
          <x:t xml:space="preserve">Long Distance 40t</x:t>
        </x:is>
      </x:c>
      <x:c r="D1" s="24" t="inlineStr">
        <x:is>
          <x:t xml:space="preserve">Regional 40t</x:t>
        </x:is>
      </x:c>
      <x:c r="E1" s="24" t="inlineStr">
        <x:is>
          <x:t xml:space="preserve">Comment</x:t>
        </x:is>
      </x:c>
    </x:row>
    <x:row r="2">
      <x:c r="A2" s="13" t="inlineStr">
        <x:is>
          <x:t xml:space="preserve">Daily km</x:t>
        </x:is>
      </x:c>
      <x:c r="B2" s="13" t="inlineStr">
        <x:is>
          <x:t xml:space="preserve">km/day</x:t>
        </x:is>
      </x:c>
      <x:c r="C2" s="382" t="n">
        <x:v>495.183887915937</x:v>
      </x:c>
      <x:c r="D2" s="382" t="n">
        <x:v>421.505376344086</x:v>
      </x:c>
      <x:c r="E2" s="13" t="inlineStr">
        <x:is>
          <x:t xml:space="preserve">Editable daily distance; annual total km is calculated as daily km × operating days</x:t>
        </x:is>
      </x:c>
    </x:row>
    <x:row r="3">
      <x:c r="A3" s="13" t="inlineStr">
        <x:is>
          <x:t xml:space="preserve">Operating days</x:t>
        </x:is>
      </x:c>
      <x:c r="B3" s="13" t="inlineStr">
        <x:is>
          <x:t xml:space="preserve">days/year</x:t>
        </x:is>
      </x:c>
      <x:c r="C3" s="383" t="n">
        <x:v>228.4</x:v>
      </x:c>
      <x:c r="D3" s="383" t="n">
        <x:v>232.5</x:v>
      </x:c>
      <x:c r="E3" s="13" t="inlineStr">
        <x:is>
          <x:t xml:space="preserve">Vehicle operating days</x:t>
        </x:is>
      </x:c>
    </x:row>
    <x:row r="4">
      <x:c r="A4" s="13" t="inlineStr">
        <x:is>
          <x:t xml:space="preserve">Working days</x:t>
        </x:is>
      </x:c>
      <x:c r="B4" s="13" t="inlineStr">
        <x:is>
          <x:t xml:space="preserve">days/year</x:t>
        </x:is>
      </x:c>
      <x:c r="C4" s="383" t="n">
        <x:v>215.2</x:v>
      </x:c>
      <x:c r="D4" s="383" t="n">
        <x:v>214.6</x:v>
      </x:c>
      <x:c r="E4" s="13" t="inlineStr">
        <x:is>
          <x:t xml:space="preserve">Used for driver allowance calculation</x:t>
        </x:is>
      </x:c>
    </x:row>
    <x:row r="5">
      <x:c r="A5" s="13" t="inlineStr">
        <x:is>
          <x:t xml:space="preserve">Annual working hours</x:t>
        </x:is>
      </x:c>
      <x:c r="B5" s="13" t="inlineStr">
        <x:is>
          <x:t xml:space="preserve">hours/year</x:t>
        </x:is>
      </x:c>
      <x:c r="C5" s="383" t="n">
        <x:v>2123</x:v>
      </x:c>
      <x:c r="D5" s="383" t="n">
        <x:v>2058</x:v>
      </x:c>
      <x:c r="E5" s="13" t="inlineStr">
        <x:is>
          <x:t xml:space="preserve">Available driver working hours</x:t>
        </x:is>
      </x:c>
    </x:row>
    <x:row r="6">
      <x:c r="A6" s="13" t="inlineStr">
        <x:is>
          <x:t xml:space="preserve">Average speed</x:t>
        </x:is>
      </x:c>
      <x:c r="B6" s="13" t="inlineStr">
        <x:is>
          <x:t xml:space="preserve">km/h</x:t>
        </x:is>
      </x:c>
      <x:c r="C6" s="383" t="n">
        <x:v>63.9</x:v>
      </x:c>
      <x:c r="D6" s="383" t="n">
        <x:v>62.5</x:v>
      </x:c>
      <x:c r="E6" s="13" t="inlineStr">
        <x:is>
          <x:t xml:space="preserve">Used to estimate driving hours</x:t>
        </x:is>
      </x:c>
    </x:row>
    <x:row r="7">
      <x:c r="A7" s="13" t="inlineStr">
        <x:is>
          <x:t xml:space="preserve">Loaded ratio</x:t>
        </x:is>
      </x:c>
      <x:c r="B7" s="13" t="inlineStr">
        <x:is>
          <x:t xml:space="preserve">% loaded km</x:t>
        </x:is>
      </x:c>
      <x:c r="C7" s="384" t="n">
        <x:v>0.853</x:v>
      </x:c>
      <x:c r="D7" s="384" t="n">
        <x:v>0.805</x:v>
      </x:c>
      <x:c r="E7" s="13" t="inlineStr">
        <x:is>
          <x:t xml:space="preserve">Revenue km divided by total km</x:t>
        </x:is>
      </x:c>
    </x:row>
    <x:row r="8">
      <x:c r="A8" s="13" t="inlineStr">
        <x:is>
          <x:t xml:space="preserve">Capacity utilisation</x:t>
        </x:is>
      </x:c>
      <x:c r="B8" s="13" t="inlineStr">
        <x:is>
          <x:t xml:space="preserve">% capacity</x:t>
        </x:is>
      </x:c>
      <x:c r="C8" s="384" t="n">
        <x:v>0.868</x:v>
      </x:c>
      <x:c r="D8" s="384" t="n">
        <x:v>0.9389999999999999</x:v>
      </x:c>
      <x:c r="E8" s="13" t="inlineStr">
        <x:is>
          <x:t xml:space="preserve">Payload/capacity usage; diagnostic only</x:t>
        </x:is>
      </x:c>
    </x:row>
    <x:row r="9">
      <x:c r="A9" s="13" t="inlineStr">
        <x:is>
          <x:t xml:space="preserve">Waiting/loading/unloading time</x:t>
        </x:is>
      </x:c>
      <x:c r="B9" s="13" t="inlineStr">
        <x:is>
          <x:t xml:space="preserve">hours/day</x:t>
        </x:is>
      </x:c>
      <x:c r="C9" s="383" t="n">
        <x:v>3.3833333333</x:v>
      </x:c>
      <x:c r="D9" s="383" t="n">
        <x:v>3.4</x:v>
      </x:c>
      <x:c r="E9" s="13" t="inlineStr">
        <x:is>
          <x:t xml:space="preserve">Converted from original waiting-time text</x:t>
        </x:is>
      </x:c>
    </x:row>
    <x:row r="10">
      <x:c r="A10" s="13" t="inlineStr">
        <x:is>
          <x:t xml:space="preserve">Fuel consumption</x:t>
        </x:is>
      </x:c>
      <x:c r="B10" s="13" t="inlineStr">
        <x:is>
          <x:t xml:space="preserve">L/100km</x:t>
        </x:is>
      </x:c>
      <x:c r="C10" s="383" t="n">
        <x:v>34.2</x:v>
      </x:c>
      <x:c r="D10" s="383" t="n">
        <x:v>33.8</x:v>
      </x:c>
      <x:c r="E10" s="13" t="inlineStr">
        <x:is>
          <x:t xml:space="preserve">Average consumption</x:t>
        </x:is>
      </x:c>
    </x:row>
    <x:row r="11">
      <x:c r="A11" s="13" t="inlineStr">
        <x:is>
          <x:t xml:space="preserve">Fuel price excl. VAT</x:t>
        </x:is>
      </x:c>
      <x:c r="B11" s="13" t="inlineStr">
        <x:is>
          <x:t xml:space="preserve">EUR/L</x:t>
        </x:is>
      </x:c>
      <x:c r="C11" s="383" t="n">
        <x:v>1.265524625</x:v>
      </x:c>
      <x:c r="D11" s="383" t="n">
        <x:v>1.265524625</x:v>
      </x:c>
      <x:c r="E11" s="13" t="inlineStr">
        <x:is>
          <x:t xml:space="preserve">Original formula 5.91 / 4.67</x:t>
        </x:is>
      </x:c>
    </x:row>
    <x:row r="12">
      <x:c r="A12" s="13" t="inlineStr">
        <x:is>
          <x:t xml:space="preserve">Tyres annual cost</x:t>
        </x:is>
      </x:c>
      <x:c r="B12" s="13" t="inlineStr">
        <x:is>
          <x:t xml:space="preserve">EUR/year</x:t>
        </x:is>
      </x:c>
      <x:c r="C12" s="383" t="n">
        <x:v>3098</x:v>
      </x:c>
      <x:c r="D12" s="383" t="n">
        <x:v>3101</x:v>
      </x:c>
      <x:c r="E12" s="13" t="str"/>
    </x:row>
    <x:row r="13">
      <x:c r="A13" s="13" t="inlineStr">
        <x:is>
          <x:t xml:space="preserve">Maintenance annual cost</x:t>
        </x:is>
      </x:c>
      <x:c r="B13" s="13" t="inlineStr">
        <x:is>
          <x:t xml:space="preserve">EUR/year</x:t>
        </x:is>
      </x:c>
      <x:c r="C13" s="383" t="n">
        <x:v>8221</x:v>
      </x:c>
      <x:c r="D13" s="383" t="n">
        <x:v>7278</x:v>
      </x:c>
      <x:c r="E13" s="13" t="str"/>
    </x:row>
    <x:row r="14">
      <x:c r="A14" s="13" t="inlineStr">
        <x:is>
          <x:t xml:space="preserve">Road fees annual cost</x:t>
        </x:is>
      </x:c>
      <x:c r="B14" s="13" t="inlineStr">
        <x:is>
          <x:t xml:space="preserve">EUR/year</x:t>
        </x:is>
      </x:c>
      <x:c r="C14" s="383" t="n">
        <x:v>8090</x:v>
      </x:c>
      <x:c r="D14" s="383" t="n">
        <x:v>5805</x:v>
      </x:c>
      <x:c r="E14" s="13" t="str"/>
    </x:row>
    <x:row r="15">
      <x:c r="A15" s="13" t="inlineStr">
        <x:is>
          <x:t xml:space="preserve">Tractor ownership annual cost</x:t>
        </x:is>
      </x:c>
      <x:c r="B15" s="13" t="inlineStr">
        <x:is>
          <x:t xml:space="preserve">EUR/year</x:t>
        </x:is>
      </x:c>
      <x:c r="C15" s="383" t="n">
        <x:v>10793</x:v>
      </x:c>
      <x:c r="D15" s="383" t="n">
        <x:v>10934</x:v>
      </x:c>
      <x:c r="E15" s="13" t="str"/>
    </x:row>
    <x:row r="16">
      <x:c r="A16" s="13" t="inlineStr">
        <x:is>
          <x:t xml:space="preserve">Trailer ownership annual cost</x:t>
        </x:is>
      </x:c>
      <x:c r="B16" s="13" t="inlineStr">
        <x:is>
          <x:t xml:space="preserve">EUR/year</x:t>
        </x:is>
      </x:c>
      <x:c r="C16" s="383" t="n">
        <x:v>3208</x:v>
      </x:c>
      <x:c r="D16" s="383" t="n">
        <x:v>3551</x:v>
      </x:c>
      <x:c r="E16" s="13" t="str"/>
    </x:row>
    <x:row r="17">
      <x:c r="A17" s="13" t="inlineStr">
        <x:is>
          <x:t xml:space="preserve">Vehicle insurance annual</x:t>
        </x:is>
      </x:c>
      <x:c r="B17" s="13" t="inlineStr">
        <x:is>
          <x:t xml:space="preserve">EUR/year</x:t>
        </x:is>
      </x:c>
      <x:c r="C17" s="383" t="n">
        <x:v>2198</x:v>
      </x:c>
      <x:c r="D17" s="383" t="n">
        <x:v>2598</x:v>
      </x:c>
      <x:c r="E17" s="13" t="str"/>
    </x:row>
    <x:row r="18">
      <x:c r="A18" s="13" t="inlineStr">
        <x:is>
          <x:t xml:space="preserve">Cargo insurance annual</x:t>
        </x:is>
      </x:c>
      <x:c r="B18" s="13" t="inlineStr">
        <x:is>
          <x:t xml:space="preserve">EUR/year</x:t>
        </x:is>
      </x:c>
      <x:c r="C18" s="383" t="n">
        <x:v>477</x:v>
      </x:c>
      <x:c r="D18" s="383" t="n">
        <x:v>411</x:v>
      </x:c>
      <x:c r="E18" s="13" t="str"/>
    </x:row>
    <x:row r="19">
      <x:c r="A19" s="13" t="inlineStr">
        <x:is>
          <x:t xml:space="preserve">Vehicle taxes annual</x:t>
        </x:is>
      </x:c>
      <x:c r="B19" s="13" t="inlineStr">
        <x:is>
          <x:t xml:space="preserve">EUR/year</x:t>
        </x:is>
      </x:c>
      <x:c r="C19" s="385" t="n">
        <x:f>'Company &amp; Tax Profile'!$B$16</x:f>
        <x:v>500</x:v>
      </x:c>
      <x:c r="D19" s="385" t="n">
        <x:f>'Company &amp; Tax Profile'!$B$16</x:f>
        <x:v>500</x:v>
      </x:c>
      <x:c r="E19" s="13" t="inlineStr">
        <x:is>
          <x:t xml:space="preserve">Linked from Company &amp; Tax Profile; replace country default with vehicle-specific tax if needed.</x:t>
        </x:is>
      </x:c>
    </x:row>
    <x:row r="20">
      <x:c r="A20" s="13" t="inlineStr">
        <x:is>
          <x:t xml:space="preserve">Monthly driver salary</x:t>
        </x:is>
      </x:c>
      <x:c r="B20" s="13" t="inlineStr">
        <x:is>
          <x:t xml:space="preserve">EUR/month</x:t>
        </x:is>
      </x:c>
      <x:c r="C20" s="383" t="n">
        <x:v>2348.72</x:v>
      </x:c>
      <x:c r="D20" s="383" t="n">
        <x:v>2182.15</x:v>
      </x:c>
      <x:c r="E20" s="13" t="str"/>
    </x:row>
    <x:row r="21">
      <x:c r="A21" s="13" t="inlineStr">
        <x:is>
          <x:t xml:space="preserve">Employer tax rate on salary</x:t>
        </x:is>
      </x:c>
      <x:c r="B21" s="13" t="inlineStr">
        <x:is>
          <x:t xml:space="preserve">%</x:t>
        </x:is>
      </x:c>
      <x:c r="C21" s="386" t="n">
        <x:f>'Company &amp; Tax Profile'!$B$14</x:f>
        <x:v>0.0225</x:v>
      </x:c>
      <x:c r="D21" s="386" t="n">
        <x:f>'Company &amp; Tax Profile'!$B$14</x:f>
        <x:v>0.0225</x:v>
      </x:c>
      <x:c r="E21" s="13" t="inlineStr">
        <x:is>
          <x:t xml:space="preserve">Linked from Company &amp; Tax Profile employer payroll contribution rate.</x:t>
        </x:is>
      </x:c>
    </x:row>
    <x:row r="22">
      <x:c r="A22" s="13" t="inlineStr">
        <x:is>
          <x:t xml:space="preserve">Travel allowance per working day</x:t>
        </x:is>
      </x:c>
      <x:c r="B22" s="13" t="inlineStr">
        <x:is>
          <x:t xml:space="preserve">EUR/day</x:t>
        </x:is>
      </x:c>
      <x:c r="C22" s="383" t="n">
        <x:v>38.36</x:v>
      </x:c>
      <x:c r="D22" s="383" t="n">
        <x:v>16.53</x:v>
      </x:c>
      <x:c r="E22" s="13" t="str"/>
    </x:row>
    <x:row r="23">
      <x:c r="A23" s="13" t="inlineStr">
        <x:is>
          <x:t xml:space="preserve">Drivers per vehicle</x:t>
        </x:is>
      </x:c>
      <x:c r="B23" s="13" t="inlineStr">
        <x:is>
          <x:t xml:space="preserve">count</x:t>
        </x:is>
      </x:c>
      <x:c r="C23" s="383" t="n">
        <x:v>1.064</x:v>
      </x:c>
      <x:c r="D23" s="383" t="n">
        <x:v>1.085</x:v>
      </x:c>
      <x:c r="E23" s="13" t="str"/>
    </x:row>
    <x:row r="24">
      <x:c r="A24" s="13" t="inlineStr">
        <x:is>
          <x:t xml:space="preserve">Structural overhead annual</x:t>
        </x:is>
      </x:c>
      <x:c r="B24" s="13" t="inlineStr">
        <x:is>
          <x:t xml:space="preserve">EUR/year</x:t>
        </x:is>
      </x:c>
      <x:c r="C24" s="383" t="n">
        <x:v>17886</x:v>
      </x:c>
      <x:c r="D24" s="383" t="n">
        <x:v>17820</x:v>
      </x:c>
      <x:c r="E24" s="13" t="str"/>
    </x:row>
    <x:row r="25">
      <x:c r="A25" s="13" t="inlineStr">
        <x:is>
          <x:t xml:space="preserve">Commercial/admin overhead annual cost</x:t>
        </x:is>
      </x:c>
      <x:c r="B25" s="13" t="inlineStr">
        <x:is>
          <x:t xml:space="preserve">EUR/year</x:t>
        </x:is>
      </x:c>
      <x:c r="C25" s="383" t="n">
        <x:v>0</x:v>
      </x:c>
      <x:c r="D25" s="383" t="n">
        <x:v>0</x:v>
      </x:c>
      <x:c r="E25" s="13" t="inlineStr">
        <x:is>
          <x:t xml:space="preserve">Optional general commercial overhead, set to zero by default</x:t>
        </x:is>
      </x:c>
    </x:row>
    <x:row r="26">
      <x:c r="A26" s="13" t="inlineStr">
        <x:is>
          <x:t xml:space="preserve">Target EBIT margin</x:t>
        </x:is>
      </x:c>
      <x:c r="B26" s="13" t="inlineStr">
        <x:is>
          <x:t xml:space="preserve">% revenue</x:t>
        </x:is>
      </x:c>
      <x:c r="C26" s="384" t="n">
        <x:v>0.1</x:v>
      </x:c>
      <x:c r="D26" s="384" t="n">
        <x:v>0.1</x:v>
      </x:c>
      <x:c r="E26" s="13" t="inlineStr">
        <x:is>
          <x:t xml:space="preserve">Required margin on revenue</x:t>
        </x:is>
      </x:c>
    </x:row>
    <x:row r="27">
      <x:c r="A27" s="206" t="inlineStr">
        <x:is>
          <x:t xml:space="preserve">Customer pricing source</x:t>
        </x:is>
      </x:c>
      <x:c r="B27" s="206" t="inlineStr">
        <x:is>
          <x:t xml:space="preserve">sheet</x:t>
        </x:is>
      </x:c>
      <x:c r="C27" s="387" t="inlineStr">
        <x:is>
          <x:t xml:space="preserve">Pricing Scenarios</x:t>
        </x:is>
      </x:c>
      <x:c r="D27" s="387" t="inlineStr">
        <x:is>
          <x:t xml:space="preserve">Pricing Scenarios</x:t>
        </x:is>
      </x:c>
      <x:c r="E27" s="206" t="inlineStr">
        <x:is>
          <x:t xml:space="preserve">Customer rate is calculated after break-even; it is no longer an input assumption.</x:t>
        </x:is>
      </x:c>
    </x:row>
    <x:row r="28">
      <x:c r="A28" s="176" t="inlineStr">
        <x:is>
          <x:t xml:space="preserve">Computed annual total km</x:t>
        </x:is>
      </x:c>
      <x:c r="B28" s="176" t="inlineStr">
        <x:is>
          <x:t xml:space="preserve">km/year</x:t>
        </x:is>
      </x:c>
      <x:c r="C28" s="388" t="n">
        <x:f>C2*C3</x:f>
        <x:v>113100.00000000001</x:v>
      </x:c>
      <x:c r="D28" s="388" t="n">
        <x:f>D2*D3</x:f>
        <x:v>98000</x:v>
      </x:c>
      <x:c r="E28" s="176" t="inlineStr">
        <x:is>
          <x:t xml:space="preserve">Formula: daily km × operating days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3f40bbd9ba544d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5.130001068115234" style="60" customWidth="1"/>
    <x:col min="2" max="2" width="12.380000114440918" style="60" customWidth="1"/>
    <x:col min="3" max="3" width="14.399999618530273" style="60" customWidth="1"/>
    <x:col min="4" max="4" width="10.09000015258789" style="60" customWidth="1"/>
    <x:col min="5" max="5" width="42.65999984741211" style="60" customWidth="1"/>
  </x:cols>
  <x:sheetData>
    <x:row r="1">
      <x:c r="A1" s="24" t="inlineStr">
        <x:is>
          <x:t xml:space="preserve">Metric</x:t>
        </x:is>
      </x:c>
      <x:c r="B1" s="24" t="inlineStr">
        <x:is>
          <x:t xml:space="preserve">Unit</x:t>
        </x:is>
      </x:c>
      <x:c r="C1" s="24" t="inlineStr">
        <x:is>
          <x:t xml:space="preserve">Long Distance 40t</x:t>
        </x:is>
      </x:c>
      <x:c r="D1" s="24" t="inlineStr">
        <x:is>
          <x:t xml:space="preserve">Regional 40t</x:t>
        </x:is>
      </x:c>
      <x:c r="E1" s="24" t="inlineStr">
        <x:is>
          <x:t xml:space="preserve">Formula logic</x:t>
        </x:is>
      </x:c>
    </x:row>
    <x:row r="2">
      <x:c r="A2" s="14" t="inlineStr">
        <x:is>
          <x:t xml:space="preserve">Input links</x:t>
        </x:is>
      </x:c>
      <x:c r="B2" s="14" t="str"/>
      <x:c r="C2" s="14" t="str"/>
      <x:c r="D2" s="14" t="str"/>
      <x:c r="E2" s="14" t="str"/>
    </x:row>
    <x:row r="3">
      <x:c r="A3" s="13" t="inlineStr">
        <x:is>
          <x:t xml:space="preserve">Annual total km</x:t>
        </x:is>
      </x:c>
      <x:c r="B3" s="13" t="inlineStr">
        <x:is>
          <x:t xml:space="preserve">km/year</x:t>
        </x:is>
      </x:c>
      <x:c r="C3" s="389" t="n">
        <x:f>Inputs!C28</x:f>
        <x:v>113100.00000000001</x:v>
      </x:c>
      <x:c r="D3" s="389" t="n">
        <x:f>Inputs!D28</x:f>
        <x:v>98000</x:v>
      </x:c>
      <x:c r="E3" s="13" t="inlineStr">
        <x:is>
          <x:t xml:space="preserve">Computed from daily km × operating days</x:t>
        </x:is>
      </x:c>
    </x:row>
    <x:row r="4">
      <x:c r="A4" s="13" t="inlineStr">
        <x:is>
          <x:t xml:space="preserve">Operating days</x:t>
        </x:is>
      </x:c>
      <x:c r="B4" s="13" t="inlineStr">
        <x:is>
          <x:t xml:space="preserve">days/year</x:t>
        </x:is>
      </x:c>
      <x:c r="C4" s="389" t="n">
        <x:f>Inputs!C3</x:f>
        <x:v>228.4</x:v>
      </x:c>
      <x:c r="D4" s="389" t="n">
        <x:f>Inputs!D3</x:f>
        <x:v>232.5</x:v>
      </x:c>
      <x:c r="E4" s="13" t="inlineStr">
        <x:is>
          <x:t xml:space="preserve">Inputs</x:t>
        </x:is>
      </x:c>
    </x:row>
    <x:row r="5">
      <x:c r="A5" s="13" t="inlineStr">
        <x:is>
          <x:t xml:space="preserve">Working days</x:t>
        </x:is>
      </x:c>
      <x:c r="B5" s="13" t="inlineStr">
        <x:is>
          <x:t xml:space="preserve">days/year</x:t>
        </x:is>
      </x:c>
      <x:c r="C5" s="389" t="n">
        <x:f>Inputs!C4</x:f>
        <x:v>215.2</x:v>
      </x:c>
      <x:c r="D5" s="389" t="n">
        <x:f>Inputs!D4</x:f>
        <x:v>214.6</x:v>
      </x:c>
      <x:c r="E5" s="13" t="inlineStr">
        <x:is>
          <x:t xml:space="preserve">Inputs</x:t>
        </x:is>
      </x:c>
    </x:row>
    <x:row r="6">
      <x:c r="A6" s="13" t="inlineStr">
        <x:is>
          <x:t xml:space="preserve">Annual working hours</x:t>
        </x:is>
      </x:c>
      <x:c r="B6" s="13" t="inlineStr">
        <x:is>
          <x:t xml:space="preserve">hours/year</x:t>
        </x:is>
      </x:c>
      <x:c r="C6" s="389" t="n">
        <x:f>Inputs!C5</x:f>
        <x:v>2123</x:v>
      </x:c>
      <x:c r="D6" s="389" t="n">
        <x:f>Inputs!D5</x:f>
        <x:v>2058</x:v>
      </x:c>
      <x:c r="E6" s="13" t="inlineStr">
        <x:is>
          <x:t xml:space="preserve">Inputs</x:t>
        </x:is>
      </x:c>
    </x:row>
    <x:row r="7">
      <x:c r="A7" s="13" t="inlineStr">
        <x:is>
          <x:t xml:space="preserve">Average speed</x:t>
        </x:is>
      </x:c>
      <x:c r="B7" s="13" t="inlineStr">
        <x:is>
          <x:t xml:space="preserve">km/h</x:t>
        </x:is>
      </x:c>
      <x:c r="C7" s="389" t="n">
        <x:f>Inputs!C6</x:f>
        <x:v>63.9</x:v>
      </x:c>
      <x:c r="D7" s="389" t="n">
        <x:f>Inputs!D6</x:f>
        <x:v>62.5</x:v>
      </x:c>
      <x:c r="E7" s="13" t="inlineStr">
        <x:is>
          <x:t xml:space="preserve">Inputs</x:t>
        </x:is>
      </x:c>
    </x:row>
    <x:row r="8">
      <x:c r="A8" s="13" t="inlineStr">
        <x:is>
          <x:t xml:space="preserve">Loaded ratio</x:t>
        </x:is>
      </x:c>
      <x:c r="B8" s="13" t="inlineStr">
        <x:is>
          <x:t xml:space="preserve">% loaded km</x:t>
        </x:is>
      </x:c>
      <x:c r="C8" s="390" t="n">
        <x:f>Inputs!C7</x:f>
        <x:v>0.853</x:v>
      </x:c>
      <x:c r="D8" s="390" t="n">
        <x:f>Inputs!D7</x:f>
        <x:v>0.805</x:v>
      </x:c>
      <x:c r="E8" s="13" t="inlineStr">
        <x:is>
          <x:t xml:space="preserve">Inputs</x:t>
        </x:is>
      </x:c>
    </x:row>
    <x:row r="9">
      <x:c r="A9" s="13" t="inlineStr">
        <x:is>
          <x:t xml:space="preserve">Capacity utilisation</x:t>
        </x:is>
      </x:c>
      <x:c r="B9" s="13" t="inlineStr">
        <x:is>
          <x:t xml:space="preserve">% capacity</x:t>
        </x:is>
      </x:c>
      <x:c r="C9" s="390" t="n">
        <x:f>Inputs!C8</x:f>
        <x:v>0.868</x:v>
      </x:c>
      <x:c r="D9" s="390" t="n">
        <x:f>Inputs!D8</x:f>
        <x:v>0.939</x:v>
      </x:c>
      <x:c r="E9" s="13" t="inlineStr">
        <x:is>
          <x:t xml:space="preserve">Diagnostic</x:t>
        </x:is>
      </x:c>
    </x:row>
    <x:row r="10">
      <x:c r="A10" s="13" t="inlineStr">
        <x:is>
          <x:t xml:space="preserve">Waiting/loading/unloading time</x:t>
        </x:is>
      </x:c>
      <x:c r="B10" s="13" t="inlineStr">
        <x:is>
          <x:t xml:space="preserve">hours/day</x:t>
        </x:is>
      </x:c>
      <x:c r="C10" s="389" t="n">
        <x:f>Inputs!C9</x:f>
        <x:v>3.3833333333</x:v>
      </x:c>
      <x:c r="D10" s="389" t="n">
        <x:f>Inputs!D9</x:f>
        <x:v>3.4</x:v>
      </x:c>
      <x:c r="E10" s="13" t="inlineStr">
        <x:is>
          <x:t xml:space="preserve">Inputs</x:t>
        </x:is>
      </x:c>
    </x:row>
    <x:row r="11">
      <x:c r="A11" s="13" t="inlineStr">
        <x:is>
          <x:t xml:space="preserve">Fuel consumption</x:t>
        </x:is>
      </x:c>
      <x:c r="B11" s="13" t="inlineStr">
        <x:is>
          <x:t xml:space="preserve">L/100km</x:t>
        </x:is>
      </x:c>
      <x:c r="C11" s="389" t="n">
        <x:f>Inputs!C10</x:f>
        <x:v>34.2</x:v>
      </x:c>
      <x:c r="D11" s="389" t="n">
        <x:f>Inputs!D10</x:f>
        <x:v>33.8</x:v>
      </x:c>
      <x:c r="E11" s="13" t="inlineStr">
        <x:is>
          <x:t xml:space="preserve">Inputs</x:t>
        </x:is>
      </x:c>
    </x:row>
    <x:row r="12">
      <x:c r="A12" s="13" t="inlineStr">
        <x:is>
          <x:t xml:space="preserve">Fuel price excl. VAT</x:t>
        </x:is>
      </x:c>
      <x:c r="B12" s="13" t="inlineStr">
        <x:is>
          <x:t xml:space="preserve">EUR/L</x:t>
        </x:is>
      </x:c>
      <x:c r="C12" s="389" t="n">
        <x:f>Inputs!C11</x:f>
        <x:v>1.265524625</x:v>
      </x:c>
      <x:c r="D12" s="389" t="n">
        <x:f>Inputs!D11</x:f>
        <x:v>1.265524625</x:v>
      </x:c>
      <x:c r="E12" s="13" t="inlineStr">
        <x:is>
          <x:t xml:space="preserve">Inputs</x:t>
        </x:is>
      </x:c>
    </x:row>
    <x:row r="13">
      <x:c r="A13" s="13" t="inlineStr">
        <x:is>
          <x:t xml:space="preserve">Tyres annual cost</x:t>
        </x:is>
      </x:c>
      <x:c r="B13" s="13" t="inlineStr">
        <x:is>
          <x:t xml:space="preserve">EUR/year</x:t>
        </x:is>
      </x:c>
      <x:c r="C13" s="389" t="n">
        <x:f>Inputs!C12</x:f>
        <x:v>3098</x:v>
      </x:c>
      <x:c r="D13" s="389" t="n">
        <x:f>Inputs!D12</x:f>
        <x:v>3101</x:v>
      </x:c>
      <x:c r="E13" s="13" t="inlineStr">
        <x:is>
          <x:t xml:space="preserve">Inputs</x:t>
        </x:is>
      </x:c>
    </x:row>
    <x:row r="14">
      <x:c r="A14" s="13" t="inlineStr">
        <x:is>
          <x:t xml:space="preserve">Maintenance annual cost</x:t>
        </x:is>
      </x:c>
      <x:c r="B14" s="13" t="inlineStr">
        <x:is>
          <x:t xml:space="preserve">EUR/year</x:t>
        </x:is>
      </x:c>
      <x:c r="C14" s="389" t="n">
        <x:f>Inputs!C13</x:f>
        <x:v>8221</x:v>
      </x:c>
      <x:c r="D14" s="389" t="n">
        <x:f>Inputs!D13</x:f>
        <x:v>7278</x:v>
      </x:c>
      <x:c r="E14" s="13" t="inlineStr">
        <x:is>
          <x:t xml:space="preserve">Inputs</x:t>
        </x:is>
      </x:c>
    </x:row>
    <x:row r="15">
      <x:c r="A15" s="13" t="inlineStr">
        <x:is>
          <x:t xml:space="preserve">Road fees annual cost</x:t>
        </x:is>
      </x:c>
      <x:c r="B15" s="13" t="inlineStr">
        <x:is>
          <x:t xml:space="preserve">EUR/year</x:t>
        </x:is>
      </x:c>
      <x:c r="C15" s="389" t="n">
        <x:f>Inputs!C14</x:f>
        <x:v>8090</x:v>
      </x:c>
      <x:c r="D15" s="389" t="n">
        <x:f>Inputs!D14</x:f>
        <x:v>5805</x:v>
      </x:c>
      <x:c r="E15" s="13" t="inlineStr">
        <x:is>
          <x:t xml:space="preserve">Inputs</x:t>
        </x:is>
      </x:c>
    </x:row>
    <x:row r="16">
      <x:c r="A16" s="13" t="inlineStr">
        <x:is>
          <x:t xml:space="preserve">Tractor ownership annual cost</x:t>
        </x:is>
      </x:c>
      <x:c r="B16" s="13" t="inlineStr">
        <x:is>
          <x:t xml:space="preserve">EUR/year</x:t>
        </x:is>
      </x:c>
      <x:c r="C16" s="389" t="n">
        <x:f>Inputs!C15</x:f>
        <x:v>10793</x:v>
      </x:c>
      <x:c r="D16" s="389" t="n">
        <x:f>Inputs!D15</x:f>
        <x:v>10934</x:v>
      </x:c>
      <x:c r="E16" s="13" t="inlineStr">
        <x:is>
          <x:t xml:space="preserve">Inputs</x:t>
        </x:is>
      </x:c>
    </x:row>
    <x:row r="17">
      <x:c r="A17" s="13" t="inlineStr">
        <x:is>
          <x:t xml:space="preserve">Trailer ownership annual cost</x:t>
        </x:is>
      </x:c>
      <x:c r="B17" s="13" t="inlineStr">
        <x:is>
          <x:t xml:space="preserve">EUR/year</x:t>
        </x:is>
      </x:c>
      <x:c r="C17" s="389" t="n">
        <x:f>Inputs!C16</x:f>
        <x:v>3208</x:v>
      </x:c>
      <x:c r="D17" s="389" t="n">
        <x:f>Inputs!D16</x:f>
        <x:v>3551</x:v>
      </x:c>
      <x:c r="E17" s="13" t="inlineStr">
        <x:is>
          <x:t xml:space="preserve">Inputs</x:t>
        </x:is>
      </x:c>
    </x:row>
    <x:row r="18">
      <x:c r="A18" s="13" t="inlineStr">
        <x:is>
          <x:t xml:space="preserve">Vehicle insurance annual</x:t>
        </x:is>
      </x:c>
      <x:c r="B18" s="13" t="inlineStr">
        <x:is>
          <x:t xml:space="preserve">EUR/year</x:t>
        </x:is>
      </x:c>
      <x:c r="C18" s="389" t="n">
        <x:f>Inputs!C17</x:f>
        <x:v>2198</x:v>
      </x:c>
      <x:c r="D18" s="389" t="n">
        <x:f>Inputs!D17</x:f>
        <x:v>2598</x:v>
      </x:c>
      <x:c r="E18" s="13" t="inlineStr">
        <x:is>
          <x:t xml:space="preserve">Inputs</x:t>
        </x:is>
      </x:c>
    </x:row>
    <x:row r="19">
      <x:c r="A19" s="13" t="inlineStr">
        <x:is>
          <x:t xml:space="preserve">Cargo insurance annual</x:t>
        </x:is>
      </x:c>
      <x:c r="B19" s="13" t="inlineStr">
        <x:is>
          <x:t xml:space="preserve">EUR/year</x:t>
        </x:is>
      </x:c>
      <x:c r="C19" s="389" t="n">
        <x:f>Inputs!C18</x:f>
        <x:v>477</x:v>
      </x:c>
      <x:c r="D19" s="389" t="n">
        <x:f>Inputs!D18</x:f>
        <x:v>411</x:v>
      </x:c>
      <x:c r="E19" s="13" t="inlineStr">
        <x:is>
          <x:t xml:space="preserve">Inputs</x:t>
        </x:is>
      </x:c>
    </x:row>
    <x:row r="20">
      <x:c r="A20" s="13" t="inlineStr">
        <x:is>
          <x:t xml:space="preserve">Vehicle taxes annual</x:t>
        </x:is>
      </x:c>
      <x:c r="B20" s="13" t="inlineStr">
        <x:is>
          <x:t xml:space="preserve">EUR/year</x:t>
        </x:is>
      </x:c>
      <x:c r="C20" s="389" t="n">
        <x:f>Inputs!C19</x:f>
        <x:v>500</x:v>
      </x:c>
      <x:c r="D20" s="389" t="n">
        <x:f>Inputs!D19</x:f>
        <x:v>500</x:v>
      </x:c>
      <x:c r="E20" s="13" t="inlineStr">
        <x:is>
          <x:t xml:space="preserve">Inputs</x:t>
        </x:is>
      </x:c>
    </x:row>
    <x:row r="21">
      <x:c r="A21" s="13" t="inlineStr">
        <x:is>
          <x:t xml:space="preserve">Monthly driver salary</x:t>
        </x:is>
      </x:c>
      <x:c r="B21" s="13" t="inlineStr">
        <x:is>
          <x:t xml:space="preserve">EUR/month</x:t>
        </x:is>
      </x:c>
      <x:c r="C21" s="389" t="n">
        <x:f>Inputs!C20</x:f>
        <x:v>2348.72</x:v>
      </x:c>
      <x:c r="D21" s="389" t="n">
        <x:f>Inputs!D20</x:f>
        <x:v>2182.15</x:v>
      </x:c>
      <x:c r="E21" s="13" t="inlineStr">
        <x:is>
          <x:t xml:space="preserve">Inputs</x:t>
        </x:is>
      </x:c>
    </x:row>
    <x:row r="22">
      <x:c r="A22" s="13" t="inlineStr">
        <x:is>
          <x:t xml:space="preserve">Employer tax rate on salary</x:t>
        </x:is>
      </x:c>
      <x:c r="B22" s="13" t="inlineStr">
        <x:is>
          <x:t xml:space="preserve">%</x:t>
        </x:is>
      </x:c>
      <x:c r="C22" s="390" t="n">
        <x:f>Inputs!C21</x:f>
        <x:v>0.0225</x:v>
      </x:c>
      <x:c r="D22" s="390" t="n">
        <x:f>Inputs!D21</x:f>
        <x:v>0.0225</x:v>
      </x:c>
      <x:c r="E22" s="13" t="inlineStr">
        <x:is>
          <x:t xml:space="preserve">Inputs</x:t>
        </x:is>
      </x:c>
    </x:row>
    <x:row r="23">
      <x:c r="A23" s="13" t="inlineStr">
        <x:is>
          <x:t xml:space="preserve">Travel allowance per working day</x:t>
        </x:is>
      </x:c>
      <x:c r="B23" s="13" t="inlineStr">
        <x:is>
          <x:t xml:space="preserve">EUR/day</x:t>
        </x:is>
      </x:c>
      <x:c r="C23" s="389" t="n">
        <x:f>Inputs!C22</x:f>
        <x:v>38.36</x:v>
      </x:c>
      <x:c r="D23" s="389" t="n">
        <x:f>Inputs!D22</x:f>
        <x:v>16.53</x:v>
      </x:c>
      <x:c r="E23" s="13" t="inlineStr">
        <x:is>
          <x:t xml:space="preserve">Inputs</x:t>
        </x:is>
      </x:c>
    </x:row>
    <x:row r="24">
      <x:c r="A24" s="13" t="inlineStr">
        <x:is>
          <x:t xml:space="preserve">Drivers per vehicle</x:t>
        </x:is>
      </x:c>
      <x:c r="B24" s="13" t="inlineStr">
        <x:is>
          <x:t xml:space="preserve">count</x:t>
        </x:is>
      </x:c>
      <x:c r="C24" s="389" t="n">
        <x:f>Inputs!C23</x:f>
        <x:v>1.064</x:v>
      </x:c>
      <x:c r="D24" s="389" t="n">
        <x:f>Inputs!D23</x:f>
        <x:v>1.085</x:v>
      </x:c>
      <x:c r="E24" s="13" t="inlineStr">
        <x:is>
          <x:t xml:space="preserve">Inputs</x:t>
        </x:is>
      </x:c>
    </x:row>
    <x:row r="25">
      <x:c r="A25" s="13" t="inlineStr">
        <x:is>
          <x:t xml:space="preserve">Structural overhead annual</x:t>
        </x:is>
      </x:c>
      <x:c r="B25" s="13" t="inlineStr">
        <x:is>
          <x:t xml:space="preserve">EUR/year</x:t>
        </x:is>
      </x:c>
      <x:c r="C25" s="389" t="n">
        <x:f>Inputs!C24</x:f>
        <x:v>17886</x:v>
      </x:c>
      <x:c r="D25" s="389" t="n">
        <x:f>Inputs!D24</x:f>
        <x:v>17820</x:v>
      </x:c>
      <x:c r="E25" s="13" t="inlineStr">
        <x:is>
          <x:t xml:space="preserve">Inputs</x:t>
        </x:is>
      </x:c>
    </x:row>
    <x:row r="26">
      <x:c r="A26" s="13" t="inlineStr">
        <x:is>
          <x:t xml:space="preserve">Commercial/admin overhead annual cost</x:t>
        </x:is>
      </x:c>
      <x:c r="B26" s="13" t="inlineStr">
        <x:is>
          <x:t xml:space="preserve">EUR/year</x:t>
        </x:is>
      </x:c>
      <x:c r="C26" s="389" t="n">
        <x:f>Inputs!C25</x:f>
        <x:v>0</x:v>
      </x:c>
      <x:c r="D26" s="389" t="n">
        <x:f>Inputs!D25</x:f>
        <x:v>0</x:v>
      </x:c>
      <x:c r="E26" s="13" t="inlineStr">
        <x:is>
          <x:t xml:space="preserve">Inputs</x:t>
        </x:is>
      </x:c>
    </x:row>
    <x:row r="27">
      <x:c r="A27" s="13" t="inlineStr">
        <x:is>
          <x:t xml:space="preserve">Target EBIT margin</x:t>
        </x:is>
      </x:c>
      <x:c r="B27" s="13" t="inlineStr">
        <x:is>
          <x:t xml:space="preserve">% revenue</x:t>
        </x:is>
      </x:c>
      <x:c r="C27" s="390" t="n">
        <x:f>Inputs!C26</x:f>
        <x:v>0.1</x:v>
      </x:c>
      <x:c r="D27" s="390" t="n">
        <x:f>Inputs!D26</x:f>
        <x:v>0.1</x:v>
      </x:c>
      <x:c r="E27" s="13" t="inlineStr">
        <x:is>
          <x:t xml:space="preserve">Inputs</x:t>
        </x:is>
      </x:c>
    </x:row>
    <x:row r="28">
      <x:c r="A28" s="210" t="inlineStr">
        <x:is>
          <x:t xml:space="preserve">Selected customer rate per loaded km</x:t>
        </x:is>
      </x:c>
      <x:c r="B28" s="210" t="inlineStr">
        <x:is>
          <x:t xml:space="preserve">EUR/loaded km</x:t>
        </x:is>
      </x:c>
      <x:c r="C28" s="391" t="n">
        <x:f>'Pricing Scenarios'!C18</x:f>
        <x:v>1.6660072359241334</x:v>
      </x:c>
      <x:c r="D28" s="391" t="n">
        <x:f>'Pricing Scenarios'!D18</x:f>
        <x:v>1.8084557283226645</x:v>
      </x:c>
      <x:c r="E28" s="210" t="inlineStr">
        <x:is>
          <x:t xml:space="preserve">Calculated in Pricing Scenarios after break-even price</x:t>
        </x:is>
      </x:c>
    </x:row>
    <x:row r="29">
      <x:c r="A29" s="13" t="str"/>
      <x:c r="B29" s="13" t="str"/>
      <x:c r="C29" s="389" t="str"/>
      <x:c r="D29" s="389" t="str"/>
      <x:c r="E29" s="13" t="str"/>
    </x:row>
    <x:row r="30">
      <x:c r="A30" s="14" t="inlineStr">
        <x:is>
          <x:t xml:space="preserve">Operational outputs</x:t>
        </x:is>
      </x:c>
      <x:c r="B30" s="14" t="str"/>
      <x:c r="C30" s="392" t="str"/>
      <x:c r="D30" s="392" t="str"/>
      <x:c r="E30" s="14" t="str"/>
    </x:row>
    <x:row r="31">
      <x:c r="A31" s="13" t="inlineStr">
        <x:is>
          <x:t xml:space="preserve">Loaded revenue km</x:t>
        </x:is>
      </x:c>
      <x:c r="B31" s="13" t="inlineStr">
        <x:is>
          <x:t xml:space="preserve">km/year</x:t>
        </x:is>
      </x:c>
      <x:c r="C31" s="389" t="n">
        <x:f>IFERROR(C3*C8,0)</x:f>
        <x:v>96474.30000000002</x:v>
      </x:c>
      <x:c r="D31" s="389" t="n">
        <x:f>IFERROR(D3*D8,0)</x:f>
        <x:v>78890</x:v>
      </x:c>
      <x:c r="E31" s="13" t="inlineStr">
        <x:is>
          <x:t xml:space="preserve">Annual total km × loaded ratio</x:t>
        </x:is>
      </x:c>
    </x:row>
    <x:row r="32">
      <x:c r="A32" s="13" t="inlineStr">
        <x:is>
          <x:t xml:space="preserve">Empty/non-revenue km</x:t>
        </x:is>
      </x:c>
      <x:c r="B32" s="13" t="inlineStr">
        <x:is>
          <x:t xml:space="preserve">km/year</x:t>
        </x:is>
      </x:c>
      <x:c r="C32" s="389" t="n">
        <x:f>IFERROR(C3-C31,0)</x:f>
        <x:v>16625.699999999997</x:v>
      </x:c>
      <x:c r="D32" s="389" t="n">
        <x:f>IFERROR(D3-D31,0)</x:f>
        <x:v>19110</x:v>
      </x:c>
      <x:c r="E32" s="13" t="inlineStr">
        <x:is>
          <x:t xml:space="preserve">Annual total km - loaded km</x:t>
        </x:is>
      </x:c>
    </x:row>
    <x:row r="33">
      <x:c r="A33" s="13" t="inlineStr">
        <x:is>
          <x:t xml:space="preserve">Driving hours</x:t>
        </x:is>
      </x:c>
      <x:c r="B33" s="13" t="inlineStr">
        <x:is>
          <x:t xml:space="preserve">hours/year</x:t>
        </x:is>
      </x:c>
      <x:c r="C33" s="389" t="n">
        <x:f>IFERROR(C3/C7,0)</x:f>
        <x:v>1769.9530516431928</x:v>
      </x:c>
      <x:c r="D33" s="389" t="n">
        <x:f>IFERROR(D3/D7,0)</x:f>
        <x:v>1568</x:v>
      </x:c>
      <x:c r="E33" s="13" t="inlineStr">
        <x:is>
          <x:t xml:space="preserve">Annual total km / average speed</x:t>
        </x:is>
      </x:c>
    </x:row>
    <x:row r="34">
      <x:c r="A34" s="13" t="inlineStr">
        <x:is>
          <x:t xml:space="preserve">Waiting/loading/unloading hours</x:t>
        </x:is>
      </x:c>
      <x:c r="B34" s="13" t="inlineStr">
        <x:is>
          <x:t xml:space="preserve">hours/year</x:t>
        </x:is>
      </x:c>
      <x:c r="C34" s="389" t="n">
        <x:f>IFERROR(C4*C10,0)</x:f>
        <x:v>772.7533333257201</x:v>
      </x:c>
      <x:c r="D34" s="389" t="n">
        <x:f>IFERROR(D4*D10,0)</x:f>
        <x:v>790.5</x:v>
      </x:c>
      <x:c r="E34" s="13" t="inlineStr">
        <x:is>
          <x:t xml:space="preserve">Operating days × waiting time/day</x:t>
        </x:is>
      </x:c>
    </x:row>
    <x:row r="35">
      <x:c r="A35" s="13" t="inlineStr">
        <x:is>
          <x:t xml:space="preserve">Total activity hours</x:t>
        </x:is>
      </x:c>
      <x:c r="B35" s="13" t="inlineStr">
        <x:is>
          <x:t xml:space="preserve">hours/year</x:t>
        </x:is>
      </x:c>
      <x:c r="C35" s="389" t="n">
        <x:f>IFERROR(C33+C34,0)</x:f>
        <x:v>2542.706384968913</x:v>
      </x:c>
      <x:c r="D35" s="389" t="n">
        <x:f>IFERROR(D33+D34,0)</x:f>
        <x:v>2358.5</x:v>
      </x:c>
      <x:c r="E35" s="13" t="inlineStr">
        <x:is>
          <x:t xml:space="preserve">Driving hours + waiting/loading/unloading hours</x:t>
        </x:is>
      </x:c>
    </x:row>
    <x:row r="36">
      <x:c r="A36" s="13" t="str"/>
      <x:c r="B36" s="13" t="str"/>
      <x:c r="C36" s="389" t="str"/>
      <x:c r="D36" s="389" t="str"/>
      <x:c r="E36" s="13" t="str"/>
    </x:row>
    <x:row r="37">
      <x:c r="A37" s="14" t="inlineStr">
        <x:is>
          <x:t xml:space="preserve">Variable cost block</x:t>
        </x:is>
      </x:c>
      <x:c r="B37" s="14" t="str"/>
      <x:c r="C37" s="392" t="str"/>
      <x:c r="D37" s="392" t="str"/>
      <x:c r="E37" s="14" t="str"/>
    </x:row>
    <x:row r="38">
      <x:c r="A38" s="13" t="inlineStr">
        <x:is>
          <x:t xml:space="preserve">Fuel cost</x:t>
        </x:is>
      </x:c>
      <x:c r="B38" s="13" t="inlineStr">
        <x:is>
          <x:t xml:space="preserve">EUR/total km</x:t>
        </x:is>
      </x:c>
      <x:c r="C38" s="393" t="n">
        <x:f>IFERROR(C11/100*C12,0)</x:f>
        <x:v>0.43280942175000003</x:v>
      </x:c>
      <x:c r="D38" s="393" t="n">
        <x:f>IFERROR(D11/100*D12,0)</x:f>
        <x:v>0.42774732325</x:v>
      </x:c>
      <x:c r="E38" s="13" t="inlineStr">
        <x:is>
          <x:t xml:space="preserve">Fuel consumption / 100 × fuel price</x:t>
        </x:is>
      </x:c>
    </x:row>
    <x:row r="39">
      <x:c r="A39" s="13" t="inlineStr">
        <x:is>
          <x:t xml:space="preserve">Tyres cost</x:t>
        </x:is>
      </x:c>
      <x:c r="B39" s="13" t="inlineStr">
        <x:is>
          <x:t xml:space="preserve">EUR/total km</x:t>
        </x:is>
      </x:c>
      <x:c r="C39" s="393" t="n">
        <x:f>IFERROR(C13/C3,0)</x:f>
        <x:v>0.027391688770999113</x:v>
      </x:c>
      <x:c r="D39" s="393" t="n">
        <x:f>IFERROR(D13/D3,0)</x:f>
        <x:v>0.031642857142857146</x:v>
      </x:c>
      <x:c r="E39" s="13" t="inlineStr">
        <x:is>
          <x:t xml:space="preserve">Annual tyres / annual total km</x:t>
        </x:is>
      </x:c>
    </x:row>
    <x:row r="40">
      <x:c r="A40" s="13" t="inlineStr">
        <x:is>
          <x:t xml:space="preserve">Maintenance cost</x:t>
        </x:is>
      </x:c>
      <x:c r="B40" s="13" t="inlineStr">
        <x:is>
          <x:t xml:space="preserve">EUR/total km</x:t>
        </x:is>
      </x:c>
      <x:c r="C40" s="393" t="n">
        <x:f>IFERROR(C14/C3,0)</x:f>
        <x:v>0.07268788682581785</x:v>
      </x:c>
      <x:c r="D40" s="393" t="n">
        <x:f>IFERROR(D14/D3,0)</x:f>
        <x:v>0.07426530612244898</x:v>
      </x:c>
      <x:c r="E40" s="13" t="inlineStr">
        <x:is>
          <x:t xml:space="preserve">Annual maintenance / annual total km</x:t>
        </x:is>
      </x:c>
    </x:row>
    <x:row r="41">
      <x:c r="A41" s="13" t="inlineStr">
        <x:is>
          <x:t xml:space="preserve">Road fees cost</x:t>
        </x:is>
      </x:c>
      <x:c r="B41" s="13" t="inlineStr">
        <x:is>
          <x:t xml:space="preserve">EUR/total km</x:t>
        </x:is>
      </x:c>
      <x:c r="C41" s="393" t="n">
        <x:f>IFERROR(C15/C3,0)</x:f>
        <x:v>0.07152961980548186</x:v>
      </x:c>
      <x:c r="D41" s="393" t="n">
        <x:f>IFERROR(D15/D3,0)</x:f>
        <x:v>0.05923469387755102</x:v>
      </x:c>
      <x:c r="E41" s="13" t="inlineStr">
        <x:is>
          <x:t xml:space="preserve">Annual road fees / annual total km</x:t>
        </x:is>
      </x:c>
    </x:row>
    <x:row r="42">
      <x:c r="A42" s="13" t="inlineStr">
        <x:is>
          <x:t xml:space="preserve">Variable operating cost</x:t>
        </x:is>
      </x:c>
      <x:c r="B42" s="13" t="inlineStr">
        <x:is>
          <x:t xml:space="preserve">EUR/total km</x:t>
        </x:is>
      </x:c>
      <x:c r="C42" s="393" t="n">
        <x:f>SUM(C38:C41)</x:f>
        <x:v>0.6044186171522989</x:v>
      </x:c>
      <x:c r="D42" s="393" t="n">
        <x:f>SUM(D38:D41)</x:f>
        <x:v>0.5928901803928571</x:v>
      </x:c>
      <x:c r="E42" s="13" t="inlineStr">
        <x:is>
          <x:t xml:space="preserve">Fuel + tyres + maintenance + road fees</x:t>
        </x:is>
      </x:c>
    </x:row>
    <x:row r="43">
      <x:c r="A43" s="13" t="inlineStr">
        <x:is>
          <x:t xml:space="preserve">Variable operating cost</x:t>
        </x:is>
      </x:c>
      <x:c r="B43" s="13" t="inlineStr">
        <x:is>
          <x:t xml:space="preserve">EUR/loaded km</x:t>
        </x:is>
      </x:c>
      <x:c r="C43" s="393" t="n">
        <x:f>IFERROR(C42/C8,0)</x:f>
        <x:v>0.7085798559815931</x:v>
      </x:c>
      <x:c r="D43" s="393" t="n">
        <x:f>IFERROR(D42/D8,0)</x:f>
        <x:v>0.736509540860692</x:v>
      </x:c>
      <x:c r="E43" s="13" t="inlineStr">
        <x:is>
          <x:t xml:space="preserve">Variable cost per total km / loaded ratio</x:t>
        </x:is>
      </x:c>
    </x:row>
    <x:row r="44">
      <x:c r="A44" s="13" t="inlineStr">
        <x:is>
          <x:t xml:space="preserve">Annual variable operating cost</x:t>
        </x:is>
      </x:c>
      <x:c r="B44" s="13" t="inlineStr">
        <x:is>
          <x:t xml:space="preserve">EUR/year</x:t>
        </x:is>
      </x:c>
      <x:c r="C44" s="389" t="n">
        <x:f>IFERROR(C42*C3,0)</x:f>
        <x:v>68359.74559992502</x:v>
      </x:c>
      <x:c r="D44" s="389" t="n">
        <x:f>IFERROR(D42*D3,0)</x:f>
        <x:v>58103.2376785</x:v>
      </x:c>
      <x:c r="E44" s="13" t="inlineStr">
        <x:is>
          <x:t xml:space="preserve">Variable cost per total km × annual total km</x:t>
        </x:is>
      </x:c>
    </x:row>
    <x:row r="45">
      <x:c r="A45" s="13" t="str"/>
      <x:c r="B45" s="13" t="str"/>
      <x:c r="C45" s="389" t="str"/>
      <x:c r="D45" s="389" t="str"/>
      <x:c r="E45" s="13" t="str"/>
    </x:row>
    <x:row r="46">
      <x:c r="A46" s="14" t="inlineStr">
        <x:is>
          <x:t xml:space="preserve">Driver cost block</x:t>
        </x:is>
      </x:c>
      <x:c r="B46" s="14" t="str"/>
      <x:c r="C46" s="392" t="str"/>
      <x:c r="D46" s="392" t="str"/>
      <x:c r="E46" s="14" t="str"/>
    </x:row>
    <x:row r="47">
      <x:c r="A47" s="13" t="inlineStr">
        <x:is>
          <x:t xml:space="preserve">Salary incl. employer taxes</x:t>
        </x:is>
      </x:c>
      <x:c r="B47" s="13" t="inlineStr">
        <x:is>
          <x:t xml:space="preserve">EUR/year</x:t>
        </x:is>
      </x:c>
      <x:c r="C47" s="389" t="n">
        <x:f>IFERROR(C21*12*C24*(1+C22),0)</x:f>
        <x:v>30663.1972416</x:v>
      </x:c>
      <x:c r="D47" s="389" t="n">
        <x:f>IFERROR(D21*12*D24*(1+D22),0)</x:f>
        <x:v>29050.8538425</x:v>
      </x:c>
      <x:c r="E47" s="13" t="inlineStr">
        <x:is>
          <x:t xml:space="preserve">Monthly salary × 12 × drivers × (1 + tax rate)</x:t>
        </x:is>
      </x:c>
    </x:row>
    <x:row r="48">
      <x:c r="A48" s="13" t="inlineStr">
        <x:is>
          <x:t xml:space="preserve">Travel allowance</x:t>
        </x:is>
      </x:c>
      <x:c r="B48" s="13" t="inlineStr">
        <x:is>
          <x:t xml:space="preserve">EUR/year</x:t>
        </x:is>
      </x:c>
      <x:c r="C48" s="389" t="n">
        <x:f>IFERROR(C23*C5*C24,0)</x:f>
        <x:v>8783.396608000001</x:v>
      </x:c>
      <x:c r="D48" s="389" t="n">
        <x:f>IFERROR(D23*D5*D24,0)</x:f>
        <x:v>3848.86173</x:v>
      </x:c>
      <x:c r="E48" s="13" t="inlineStr">
        <x:is>
          <x:t xml:space="preserve">Allowance/day × working days × drivers</x:t>
        </x:is>
      </x:c>
    </x:row>
    <x:row r="49">
      <x:c r="A49" s="13" t="inlineStr">
        <x:is>
          <x:t xml:space="preserve">Total driver cost</x:t>
        </x:is>
      </x:c>
      <x:c r="B49" s="13" t="inlineStr">
        <x:is>
          <x:t xml:space="preserve">EUR/year</x:t>
        </x:is>
      </x:c>
      <x:c r="C49" s="389" t="n">
        <x:f>SUM(C47:C48)</x:f>
        <x:v>39446.5938496</x:v>
      </x:c>
      <x:c r="D49" s="389" t="n">
        <x:f>SUM(D47:D48)</x:f>
        <x:v>32899.7155725</x:v>
      </x:c>
      <x:c r="E49" s="13" t="inlineStr">
        <x:is>
          <x:t xml:space="preserve">Salary incl. taxes + allowance</x:t>
        </x:is>
      </x:c>
    </x:row>
    <x:row r="50">
      <x:c r="A50" s="13" t="inlineStr">
        <x:is>
          <x:t xml:space="preserve">Driver cost per activity hour</x:t>
        </x:is>
      </x:c>
      <x:c r="B50" s="13" t="inlineStr">
        <x:is>
          <x:t xml:space="preserve">EUR/hour</x:t>
        </x:is>
      </x:c>
      <x:c r="C50" s="393" t="n">
        <x:f>IFERROR(C49/C35,0)</x:f>
        <x:v>15.513625199821202</x:v>
      </x:c>
      <x:c r="D50" s="393" t="n">
        <x:f>IFERROR(D49/D35,0)</x:f>
        <x:v>13.94942360504558</x:v>
      </x:c>
      <x:c r="E50" s="13" t="inlineStr">
        <x:is>
          <x:t xml:space="preserve">Total driver cost / activity hours</x:t>
        </x:is>
      </x:c>
    </x:row>
    <x:row r="51">
      <x:c r="A51" s="13" t="inlineStr">
        <x:is>
          <x:t xml:space="preserve">Driver cost per loaded km</x:t>
        </x:is>
      </x:c>
      <x:c r="B51" s="13" t="inlineStr">
        <x:is>
          <x:t xml:space="preserve">EUR/loaded km</x:t>
        </x:is>
      </x:c>
      <x:c r="C51" s="393" t="n">
        <x:f>IFERROR(C49/C31,0)</x:f>
        <x:v>0.4088818871927549</x:v>
      </x:c>
      <x:c r="D51" s="393" t="n">
        <x:f>IFERROR(D49/D31,0)</x:f>
        <x:v>0.41703277440106473</x:v>
      </x:c>
      <x:c r="E51" s="13" t="inlineStr">
        <x:is>
          <x:t xml:space="preserve">Total driver cost / loaded km</x:t>
        </x:is>
      </x:c>
    </x:row>
    <x:row r="52">
      <x:c r="A52" s="13" t="str"/>
      <x:c r="B52" s="13" t="str"/>
      <x:c r="C52" s="389" t="str"/>
      <x:c r="D52" s="389" t="str"/>
      <x:c r="E52" s="13" t="str"/>
    </x:row>
    <x:row r="53">
      <x:c r="A53" s="14" t="inlineStr">
        <x:is>
          <x:t xml:space="preserve">Fixed cost block</x:t>
        </x:is>
      </x:c>
      <x:c r="B53" s="14" t="str"/>
      <x:c r="C53" s="392" t="str"/>
      <x:c r="D53" s="392" t="str"/>
      <x:c r="E53" s="14" t="str"/>
    </x:row>
    <x:row r="54">
      <x:c r="A54" s="13" t="inlineStr">
        <x:is>
          <x:t xml:space="preserve">Vehicle fixed cost</x:t>
        </x:is>
      </x:c>
      <x:c r="B54" s="13" t="inlineStr">
        <x:is>
          <x:t xml:space="preserve">EUR/year</x:t>
        </x:is>
      </x:c>
      <x:c r="C54" s="389" t="n">
        <x:f>SUM(C16:C20)</x:f>
        <x:v>17176</x:v>
      </x:c>
      <x:c r="D54" s="389" t="n">
        <x:f>SUM(D16:D20)</x:f>
        <x:v>17994</x:v>
      </x:c>
      <x:c r="E54" s="13" t="inlineStr">
        <x:is>
          <x:t xml:space="preserve">Tractor + trailer + insurance + taxes</x:t>
        </x:is>
      </x:c>
    </x:row>
    <x:row r="55">
      <x:c r="A55" s="13" t="inlineStr">
        <x:is>
          <x:t xml:space="preserve">Structural/admin fixed cost</x:t>
        </x:is>
      </x:c>
      <x:c r="B55" s="13" t="inlineStr">
        <x:is>
          <x:t xml:space="preserve">EUR/year</x:t>
        </x:is>
      </x:c>
      <x:c r="C55" s="389" t="n">
        <x:f>SUM(C25:C26)</x:f>
        <x:v>17886</x:v>
      </x:c>
      <x:c r="D55" s="389" t="n">
        <x:f>SUM(D25:D26)</x:f>
        <x:v>17820</x:v>
      </x:c>
      <x:c r="E55" s="13" t="inlineStr">
        <x:is>
          <x:t xml:space="preserve">Structural overhead + commercial/admin overhead</x:t>
        </x:is>
      </x:c>
    </x:row>
    <x:row r="56">
      <x:c r="A56" s="13" t="inlineStr">
        <x:is>
          <x:t xml:space="preserve">Fixed cost before driver</x:t>
        </x:is>
      </x:c>
      <x:c r="B56" s="13" t="inlineStr">
        <x:is>
          <x:t xml:space="preserve">EUR/year</x:t>
        </x:is>
      </x:c>
      <x:c r="C56" s="389" t="n">
        <x:f>SUM(C54:C55)</x:f>
        <x:v>35062</x:v>
      </x:c>
      <x:c r="D56" s="389" t="n">
        <x:f>SUM(D54:D55)</x:f>
        <x:v>35814</x:v>
      </x:c>
      <x:c r="E56" s="13" t="inlineStr">
        <x:is>
          <x:t xml:space="preserve">Vehicle fixed + structural/admin fixed</x:t>
        </x:is>
      </x:c>
    </x:row>
    <x:row r="57">
      <x:c r="A57" s="13" t="inlineStr">
        <x:is>
          <x:t xml:space="preserve">Fixed cost including driver</x:t>
        </x:is>
      </x:c>
      <x:c r="B57" s="13" t="inlineStr">
        <x:is>
          <x:t xml:space="preserve">EUR/year</x:t>
        </x:is>
      </x:c>
      <x:c r="C57" s="389" t="n">
        <x:f>SUM(C49,C56)</x:f>
        <x:v>74508.5938496</x:v>
      </x:c>
      <x:c r="D57" s="389" t="n">
        <x:f>SUM(D49,D56)</x:f>
        <x:v>68713.71557249999</x:v>
      </x:c>
      <x:c r="E57" s="13" t="inlineStr">
        <x:is>
          <x:t xml:space="preserve">Fixed before driver + driver cost</x:t>
        </x:is>
      </x:c>
    </x:row>
    <x:row r="58">
      <x:c r="A58" s="13" t="str"/>
      <x:c r="B58" s="13" t="str"/>
      <x:c r="C58" s="389" t="str"/>
      <x:c r="D58" s="389" t="str"/>
      <x:c r="E58" s="13" t="str"/>
    </x:row>
    <x:row r="59">
      <x:c r="A59" s="14" t="inlineStr">
        <x:is>
          <x:t xml:space="preserve">Break-even outputs</x:t>
        </x:is>
      </x:c>
      <x:c r="B59" s="14" t="str"/>
      <x:c r="C59" s="392" t="str"/>
      <x:c r="D59" s="392" t="str"/>
      <x:c r="E59" s="14" t="str"/>
    </x:row>
    <x:row r="60">
      <x:c r="A60" s="34" t="inlineStr">
        <x:is>
          <x:t xml:space="preserve">Total annual cost</x:t>
        </x:is>
      </x:c>
      <x:c r="B60" s="34" t="inlineStr">
        <x:is>
          <x:t xml:space="preserve">EUR/year</x:t>
        </x:is>
      </x:c>
      <x:c r="C60" s="394" t="n">
        <x:f>SUM(C44,C57)</x:f>
        <x:v>142868.33944952502</x:v>
      </x:c>
      <x:c r="D60" s="394" t="n">
        <x:f>SUM(D44,D57)</x:f>
        <x:v>126816.953251</x:v>
      </x:c>
      <x:c r="E60" s="34" t="inlineStr">
        <x:is>
          <x:t xml:space="preserve">Variable cost + fixed cost including driver</x:t>
        </x:is>
      </x:c>
    </x:row>
    <x:row r="61">
      <x:c r="A61" s="34" t="inlineStr">
        <x:is>
          <x:t xml:space="preserve">Cost per total km</x:t>
        </x:is>
      </x:c>
      <x:c r="B61" s="34" t="inlineStr">
        <x:is>
          <x:t xml:space="preserve">EUR/total km</x:t>
        </x:is>
      </x:c>
      <x:c r="C61" s="395" t="n">
        <x:f>IFERROR(C60/C3,0)</x:f>
        <x:v>1.2632037086606986</x:v>
      </x:c>
      <x:c r="D61" s="395" t="n">
        <x:f>IFERROR(D60/D3,0)</x:f>
        <x:v>1.294050543377551</x:v>
      </x:c>
      <x:c r="E61" s="34" t="inlineStr">
        <x:is>
          <x:t xml:space="preserve">Total annual cost / annual total km</x:t>
        </x:is>
      </x:c>
    </x:row>
    <x:row r="62">
      <x:c r="A62" s="34" t="inlineStr">
        <x:is>
          <x:t xml:space="preserve">Break-even price</x:t>
        </x:is>
      </x:c>
      <x:c r="B62" s="34" t="inlineStr">
        <x:is>
          <x:t xml:space="preserve">EUR/loaded km</x:t>
        </x:is>
      </x:c>
      <x:c r="C62" s="395" t="n">
        <x:f>IFERROR(C60/C31,0)</x:f>
        <x:v>1.480895320821452</x:v>
      </x:c>
      <x:c r="D62" s="395" t="n">
        <x:f>IFERROR(D60/D31,0)</x:f>
        <x:v>1.6075162029534795</x:v>
      </x:c>
      <x:c r="E62" s="34" t="inlineStr">
        <x:is>
          <x:t xml:space="preserve">Total annual cost / loaded km</x:t>
        </x:is>
      </x:c>
    </x:row>
    <x:row r="63">
      <x:c r="A63" s="34" t="inlineStr">
        <x:is>
          <x:t xml:space="preserve">Required price for target EBIT margin</x:t>
        </x:is>
      </x:c>
      <x:c r="B63" s="34" t="inlineStr">
        <x:is>
          <x:t xml:space="preserve">EUR/loaded km</x:t>
        </x:is>
      </x:c>
      <x:c r="C63" s="395" t="n">
        <x:f>IFERROR(C62/(1-C27),0)</x:f>
        <x:v>1.6454392453571687</x:v>
      </x:c>
      <x:c r="D63" s="395" t="n">
        <x:f>IFERROR(D62/(1-D27),0)</x:f>
        <x:v>1.786129114392755</x:v>
      </x:c>
      <x:c r="E63" s="34" t="inlineStr">
        <x:is>
          <x:t xml:space="preserve">Break-even price / (1 - target margin)</x:t>
        </x:is>
      </x:c>
    </x:row>
    <x:row r="64">
      <x:c r="A64" s="34" t="inlineStr">
        <x:is>
          <x:t xml:space="preserve">Annual revenue at selected rate</x:t>
        </x:is>
      </x:c>
      <x:c r="B64" s="34" t="inlineStr">
        <x:is>
          <x:t xml:space="preserve">EUR/year</x:t>
        </x:is>
      </x:c>
      <x:c r="C64" s="396" t="n">
        <x:f>IFERROR(C28*C31,0)</x:f>
        <x:v>160726.88188071563</x:v>
      </x:c>
      <x:c r="D64" s="396" t="n">
        <x:f>IFERROR(D28*D31,0)</x:f>
        <x:v>142669.072407375</x:v>
      </x:c>
      <x:c r="E64" s="34" t="inlineStr">
        <x:is>
          <x:t xml:space="preserve">Selected customer rate × loaded revenue km</x:t>
        </x:is>
      </x:c>
    </x:row>
    <x:row r="65">
      <x:c r="A65" s="34" t="inlineStr">
        <x:is>
          <x:t xml:space="preserve">EBIT at selected rate</x:t>
        </x:is>
      </x:c>
      <x:c r="B65" s="34" t="inlineStr">
        <x:is>
          <x:t xml:space="preserve">EUR/year</x:t>
        </x:is>
      </x:c>
      <x:c r="C65" s="396" t="n">
        <x:f>C64-C60</x:f>
        <x:v>17858.54243119061</x:v>
      </x:c>
      <x:c r="D65" s="396" t="n">
        <x:f>D64-D60</x:f>
        <x:v>15852.119156375004</x:v>
      </x:c>
      <x:c r="E65" s="34" t="inlineStr">
        <x:is>
          <x:t xml:space="preserve">Revenue - total annual cost</x:t>
        </x:is>
      </x:c>
    </x:row>
    <x:row r="66">
      <x:c r="A66" s="34" t="inlineStr">
        <x:is>
          <x:t xml:space="preserve">EBIT margin at selected rate</x:t>
        </x:is>
      </x:c>
      <x:c r="B66" s="34" t="inlineStr">
        <x:is>
          <x:t xml:space="preserve">% revenue</x:t>
        </x:is>
      </x:c>
      <x:c r="C66" s="397" t="n">
        <x:f>IFERROR(C65/C64,0)</x:f>
        <x:v>0.11111111111111101</x:v>
      </x:c>
      <x:c r="D66" s="397" t="n">
        <x:f>IFERROR(D65/D64,0)</x:f>
        <x:v>0.11111111111111113</x:v>
      </x:c>
      <x:c r="E66" s="34" t="inlineStr">
        <x:is>
          <x:t xml:space="preserve">EBIT / revenue</x:t>
        </x:is>
      </x:c>
    </x:row>
    <x:row r="67">
      <x:c r="A67" s="34" t="inlineStr">
        <x:is>
          <x:t xml:space="preserve">Break-even loaded km at selected rate</x:t>
        </x:is>
      </x:c>
      <x:c r="B67" s="34" t="inlineStr">
        <x:is>
          <x:t xml:space="preserve">km/year</x:t>
        </x:is>
      </x:c>
      <x:c r="C67" s="396" t="n">
        <x:f>IFERROR(IF(C28&lt;=C43,"Rate below variable cost",C57/(C28-C43)),0)</x:f>
        <x:v>77821.6660715005</x:v>
      </x:c>
      <x:c r="D67" s="396" t="n">
        <x:f>IFERROR(IF(D28&lt;=D43,"Rate below variable cost",D57/(D28-D43)),0)</x:f>
        <x:v>64101.83307353534</x:v>
      </x:c>
      <x:c r="E67" s="34" t="inlineStr">
        <x:is>
          <x:t xml:space="preserve">Fixed cost / (selected rate - variable loaded-km cost)</x:t>
        </x:is>
      </x:c>
    </x:row>
    <x:row r="68">
      <x:c r="A68" s="34" t="inlineStr">
        <x:is>
          <x:t xml:space="preserve">Break-even total km at selected rate</x:t>
        </x:is>
      </x:c>
      <x:c r="B68" s="34" t="inlineStr">
        <x:is>
          <x:t xml:space="preserve">km/year</x:t>
        </x:is>
      </x:c>
      <x:c r="C68" s="396" t="n">
        <x:f>IFERROR(IF(ISNUMBER(C67),C67/C8,""),"")</x:f>
        <x:v>91232.90278018816</x:v>
      </x:c>
      <x:c r="D68" s="396" t="n">
        <x:f>IFERROR(IF(ISNUMBER(D67),D67/D8,""),"")</x:f>
        <x:v>79629.60630252837</x:v>
      </x:c>
      <x:c r="E68" s="34" t="inlineStr">
        <x:is>
          <x:t xml:space="preserve">Break-even loaded km / loaded ratio</x:t>
        </x:is>
      </x:c>
    </x:row>
    <x:row r="69">
      <x:c r="A69" s="34" t="inlineStr">
        <x:is>
          <x:t xml:space="preserve">Break-even utilisation of planned loaded km</x:t>
        </x:is>
      </x:c>
      <x:c r="B69" s="34" t="inlineStr">
        <x:is>
          <x:t xml:space="preserve">%</x:t>
        </x:is>
      </x:c>
      <x:c r="C69" s="396" t="n">
        <x:f>IFERROR(IF(ISNUMBER(C67),C67/C31,""),"")</x:f>
        <x:v>0.8066569653420702</x:v>
      </x:c>
      <x:c r="D69" s="396" t="n">
        <x:f>IFERROR(IF(ISNUMBER(D67),D67/D31,""),"")</x:f>
        <x:v>0.8125470030870242</x:v>
      </x:c>
      <x:c r="E69" s="34" t="inlineStr">
        <x:is>
          <x:t xml:space="preserve">Break-even loaded km / loaded km</x:t>
        </x:is>
      </x:c>
    </x:row>
    <x:row r="70">
      <x:c r="A70" s="34" t="inlineStr">
        <x:is>
          <x:t xml:space="preserve">Required loaded ratio at planned total km</x:t>
        </x:is>
      </x:c>
      <x:c r="B70" s="34" t="inlineStr">
        <x:is>
          <x:t xml:space="preserve">%</x:t>
        </x:is>
      </x:c>
      <x:c r="C70" s="396" t="n">
        <x:f>IFERROR(C60/(C28*C3),0)</x:f>
        <x:v>0.7582222222222222</x:v>
      </x:c>
      <x:c r="D70" s="396" t="n">
        <x:f>IFERROR(D60/(D28*D3),0)</x:f>
        <x:v>0.7155555555555555</x:v>
      </x:c>
      <x:c r="E70" s="34" t="inlineStr">
        <x:is>
          <x:t xml:space="preserve">Total cost / (selected rate × total km)</x:t>
        </x:is>
      </x:c>
    </x:row>
    <x:row r="71">
      <x:c r="A71" s="34" t="inlineStr">
        <x:is>
          <x:t xml:space="preserve">Loaded-km safety margin</x:t>
        </x:is>
      </x:c>
      <x:c r="B71" s="34" t="inlineStr">
        <x:is>
          <x:t xml:space="preserve">km/year</x:t>
        </x:is>
      </x:c>
      <x:c r="C71" s="396" t="n">
        <x:f>IFERROR(IF(ISNUMBER(C67),C31-C67,""),"")</x:f>
        <x:v>18652.63392849952</x:v>
      </x:c>
      <x:c r="D71" s="396" t="n">
        <x:f>IFERROR(IF(ISNUMBER(D67),D31-D67,""),"")</x:f>
        <x:v>14788.166926464663</x:v>
      </x:c>
      <x:c r="E71" s="34" t="inlineStr">
        <x:is>
          <x:t xml:space="preserve">Loaded km - break-even loaded km</x:t>
        </x:is>
      </x:c>
    </x:row>
    <x:row r="72">
      <x:c r="A72" s="34" t="inlineStr">
        <x:is>
          <x:t xml:space="preserve">Safety margin</x:t>
        </x:is>
      </x:c>
      <x:c r="B72" s="34" t="inlineStr">
        <x:is>
          <x:t xml:space="preserve">%</x:t>
        </x:is>
      </x:c>
      <x:c r="C72" s="397" t="n">
        <x:f>IFERROR(IF(ISNUMBER(C71),C71/C31,""),"")</x:f>
        <x:v>0.1933430346579298</x:v>
      </x:c>
      <x:c r="D72" s="397" t="n">
        <x:f>IFERROR(IF(ISNUMBER(D71),D71/D31,""),"")</x:f>
        <x:v>0.18745299691297582</x:v>
      </x:c>
      <x:c r="E72" s="34" t="inlineStr">
        <x:is>
          <x:t xml:space="preserve">Safety margin / loaded km</x:t>
        </x:is>
      </x:c>
    </x:row>
    <x:row r="73">
      <x:c r="A73" s="34" t="inlineStr">
        <x:is>
          <x:t xml:space="preserve">Rate variance vs break-even</x:t>
        </x:is>
      </x:c>
      <x:c r="B73" s="34" t="inlineStr">
        <x:is>
          <x:t xml:space="preserve">EUR/loaded km</x:t>
        </x:is>
      </x:c>
      <x:c r="C73" s="395" t="n">
        <x:f>IFERROR(C28-C62,0)</x:f>
        <x:v>0.18511191510268143</x:v>
      </x:c>
      <x:c r="D73" s="395" t="n">
        <x:f>IFERROR(D28-D62,0)</x:f>
        <x:v>0.20093952536918502</x:v>
      </x:c>
      <x:c r="E73" s="34" t="inlineStr">
        <x:is>
          <x:t xml:space="preserve">Selected customer rate - break-even price</x:t>
        </x:is>
      </x:c>
    </x:row>
    <x:row r="74">
      <x:c r="A74" s="34" t="inlineStr">
        <x:is>
          <x:t xml:space="preserve">Profit contribution</x:t>
        </x:is>
      </x:c>
      <x:c r="B74" s="34" t="inlineStr">
        <x:is>
          <x:t xml:space="preserve">EUR/loaded km</x:t>
        </x:is>
      </x:c>
      <x:c r="C74" s="395" t="n">
        <x:f>IFERROR(C28-C62,0)</x:f>
        <x:v>0.18511191510268143</x:v>
      </x:c>
      <x:c r="D74" s="395" t="n">
        <x:f>IFERROR(D28-D62,0)</x:f>
        <x:v>0.20093952536918502</x:v>
      </x:c>
      <x:c r="E74" s="34" t="inlineStr">
        <x:is>
          <x:t xml:space="preserve">Selected customer rate - break-even price</x:t>
        </x:is>
      </x:c>
    </x:row>
    <x:row r="75">
      <x:c r="A75" s="13" t="n"/>
      <x:c r="B75" s="13" t="n"/>
      <x:c r="C75" s="13" t="n"/>
      <x:c r="D75" s="13" t="n"/>
      <x:c r="E75" s="13" t="n"/>
    </x:row>
  </x:sheetData>
  <x:pageMargins left="0.7" right="0.7" top="0.75" bottom="0.75" header="0.3" footer="0.3"/>
  <x:tableParts count="1">
    <x:tablePart xmlns:r="http://schemas.openxmlformats.org/officeDocument/2006/relationships" r:id="R90f47f9ac717434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style="60" customWidth="1"/>
    <x:col min="2" max="2" width="14" style="60" customWidth="1"/>
    <x:col min="3" max="3" width="14" style="60" customWidth="1"/>
    <x:col min="4" max="4" width="14" style="60" customWidth="1"/>
    <x:col min="5" max="5" width="14" style="60" customWidth="1"/>
    <x:col min="6" max="6" width="14" style="60" customWidth="1"/>
    <x:col min="7" max="7" width="14" style="60" customWidth="1"/>
    <x:col min="8" max="8" width="14" style="60" customWidth="1"/>
    <x:col min="9" max="9" width="38" style="60" customWidth="1"/>
    <x:col min="10" max="10" width="45" style="60" customWidth="1"/>
    <x:col min="11" max="11" width="34" style="60" customWidth="1"/>
  </x:cols>
  <x:sheetData>
    <x:row r="1">
      <x:c r="A1" s="7" t="inlineStr">
        <x:is>
          <x:t xml:space="preserve">Break-even sensitivity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t="inlineStr">
        <x:is>
          <x:t xml:space="preserve">Selected profile</x:t>
        </x:is>
      </x:c>
      <x:c r="B2" t="inlineStr">
        <x:is>
          <x:t xml:space="preserve">Long Distance 40t</x:t>
        </x:is>
      </x:c>
      <x:c r="J2" s="58" t="inlineStr">
        <x:is>
          <x:t xml:space="preserve">Selected column</x:t>
        </x:is>
      </x:c>
      <x:c r="K2" s="58" t="n">
        <x:f>MATCH($B$2,Engine!$C$1:$D$1,0)</x:f>
        <x:v>1</x:v>
      </x:c>
    </x:row>
    <x:row r="3">
      <x:c r="J3" s="58" t="inlineStr">
        <x:is>
          <x:t xml:space="preserve">Annual total km</x:t>
        </x:is>
      </x:c>
      <x:c r="K3" s="58" t="n">
        <x:f>INDEX(Engine!$C$3:$D$3,1,$K$2)</x:f>
        <x:v>113100.00000000001</x:v>
      </x:c>
    </x:row>
    <x:row r="4">
      <x:c r="A4" s="20" t="inlineStr">
        <x:is>
          <x:t xml:space="preserve">Rate/load factor EBIT matrix</x:t>
        </x:is>
      </x:c>
      <x:c r="B4" s="20" t="str"/>
      <x:c r="C4" s="20" t="str"/>
      <x:c r="D4" s="20" t="str"/>
      <x:c r="E4" s="20" t="str"/>
      <x:c r="F4" s="20" t="str"/>
      <x:c r="G4" s="20" t="str"/>
      <x:c r="H4" s="20" t="str"/>
      <x:c r="J4" s="58" t="inlineStr">
        <x:is>
          <x:t xml:space="preserve">Variable €/total km</x:t>
        </x:is>
      </x:c>
      <x:c r="K4" s="58" t="n">
        <x:f>INDEX(Engine!$C$42:$D$42,1,$K$2)</x:f>
        <x:v>0.6044186171522989</x:v>
      </x:c>
    </x:row>
    <x:row r="5">
      <x:c r="A5" s="20" t="inlineStr">
        <x:is>
          <x:t xml:space="preserve">Load factor \ Rate</x:t>
        </x:is>
      </x:c>
      <x:c r="B5" s="398" t="n">
        <x:v>1.2</x:v>
      </x:c>
      <x:c r="C5" s="398" t="n">
        <x:v>1.4</x:v>
      </x:c>
      <x:c r="D5" s="398" t="n">
        <x:v>1.6</x:v>
      </x:c>
      <x:c r="E5" s="398" t="n">
        <x:v>1.8</x:v>
      </x:c>
      <x:c r="F5" s="398" t="n">
        <x:v>2</x:v>
      </x:c>
      <x:c r="G5" s="398" t="n">
        <x:v>2.2</x:v>
      </x:c>
      <x:c r="H5" s="398" t="n">
        <x:v>2.4</x:v>
      </x:c>
      <x:c r="J5" s="58" t="inlineStr">
        <x:is>
          <x:t xml:space="preserve">Fixed incl driver</x:t>
        </x:is>
      </x:c>
      <x:c r="K5" s="58" t="n">
        <x:f>INDEX(Engine!$C$57:$D$57,1,$K$2)</x:f>
        <x:v>74508.5938496</x:v>
      </x:c>
    </x:row>
    <x:row r="6">
      <x:c r="A6" s="399" t="n">
        <x:v>0.65</x:v>
      </x:c>
      <x:c r="B6" s="400" t="n">
        <x:f>B$5*$K$3*$A6-($K$5+$K$4*$K$3)</x:f>
        <x:v>-54650.339449525025</x:v>
      </x:c>
      <x:c r="C6" s="400" t="n">
        <x:f>C$5*$K$3*$A6-($K$5+$K$4*$K$3)</x:f>
        <x:v>-39947.339449525025</x:v>
      </x:c>
      <x:c r="D6" s="400" t="n">
        <x:f>D$5*$K$3*$A6-($K$5+$K$4*$K$3)</x:f>
        <x:v>-25244.339449524996</x:v>
      </x:c>
      <x:c r="E6" s="400" t="n">
        <x:f>E$5*$K$3*$A6-($K$5+$K$4*$K$3)</x:f>
        <x:v>-10541.339449524996</x:v>
      </x:c>
      <x:c r="F6" s="400" t="n">
        <x:f>F$5*$K$3*$A6-($K$5+$K$4*$K$3)</x:f>
        <x:v>4161.660550475004</x:v>
      </x:c>
      <x:c r="G6" s="400" t="n">
        <x:f>G$5*$K$3*$A6-($K$5+$K$4*$K$3)</x:f>
        <x:v>18864.660550475004</x:v>
      </x:c>
      <x:c r="H6" s="400" t="n">
        <x:f>H$5*$K$3*$A6-($K$5+$K$4*$K$3)</x:f>
        <x:v>33567.660550474975</x:v>
      </x:c>
      <x:c r="J6" s="58" t="inlineStr">
        <x:is>
          <x:t xml:space="preserve">Loaded ratio</x:t>
        </x:is>
      </x:c>
      <x:c r="K6" s="58" t="n">
        <x:f>INDEX(Engine!$C$8:$D$8,1,$K$2)</x:f>
        <x:v>0.853</x:v>
      </x:c>
    </x:row>
    <x:row r="7">
      <x:c r="A7" s="399" t="n">
        <x:v>0.7</x:v>
      </x:c>
      <x:c r="B7" s="400" t="n">
        <x:f>B$5*$K$3*$A7-($K$5+$K$4*$K$3)</x:f>
        <x:v>-47864.339449525025</x:v>
      </x:c>
      <x:c r="C7" s="400" t="n">
        <x:f>C$5*$K$3*$A7-($K$5+$K$4*$K$3)</x:f>
        <x:v>-32030.339449525025</x:v>
      </x:c>
      <x:c r="D7" s="400" t="n">
        <x:f>D$5*$K$3*$A7-($K$5+$K$4*$K$3)</x:f>
        <x:v>-16196.33944952501</x:v>
      </x:c>
      <x:c r="E7" s="400" t="n">
        <x:f>E$5*$K$3*$A7-($K$5+$K$4*$K$3)</x:f>
        <x:v>-362.339449525025</x:v>
      </x:c>
      <x:c r="F7" s="400" t="n">
        <x:f>F$5*$K$3*$A7-($K$5+$K$4*$K$3)</x:f>
        <x:v>15471.660550474975</x:v>
      </x:c>
      <x:c r="G7" s="400" t="n">
        <x:f>G$5*$K$3*$A7-($K$5+$K$4*$K$3)</x:f>
        <x:v>31305.660550475004</x:v>
      </x:c>
      <x:c r="H7" s="400" t="n">
        <x:f>H$5*$K$3*$A7-($K$5+$K$4*$K$3)</x:f>
        <x:v>47139.660550474975</x:v>
      </x:c>
      <x:c r="J7" s="58" t="inlineStr">
        <x:is>
          <x:t xml:space="preserve">Current BE price</x:t>
        </x:is>
      </x:c>
      <x:c r="K7" s="58" t="n">
        <x:f>INDEX(Engine!$C$62:$D$62,1,$K$2)</x:f>
        <x:v>1.480895320821452</x:v>
      </x:c>
    </x:row>
    <x:row r="8">
      <x:c r="A8" s="399" t="n">
        <x:v>0.75</x:v>
      </x:c>
      <x:c r="B8" s="400" t="n">
        <x:f>B$5*$K$3*$A8-($K$5+$K$4*$K$3)</x:f>
        <x:v>-41078.339449525025</x:v>
      </x:c>
      <x:c r="C8" s="400" t="n">
        <x:f>C$5*$K$3*$A8-($K$5+$K$4*$K$3)</x:f>
        <x:v>-24113.339449525025</x:v>
      </x:c>
      <x:c r="D8" s="400" t="n">
        <x:f>D$5*$K$3*$A8-($K$5+$K$4*$K$3)</x:f>
        <x:v>-7148.339449524996</x:v>
      </x:c>
      <x:c r="E8" s="400" t="n">
        <x:f>E$5*$K$3*$A8-($K$5+$K$4*$K$3)</x:f>
        <x:v>9816.660550475004</x:v>
      </x:c>
      <x:c r="F8" s="400" t="n">
        <x:f>F$5*$K$3*$A8-($K$5+$K$4*$K$3)</x:f>
        <x:v>26781.660550475004</x:v>
      </x:c>
      <x:c r="G8" s="400" t="n">
        <x:f>G$5*$K$3*$A8-($K$5+$K$4*$K$3)</x:f>
        <x:v>43746.66055047503</x:v>
      </x:c>
      <x:c r="H8" s="400" t="n">
        <x:f>H$5*$K$3*$A8-($K$5+$K$4*$K$3)</x:f>
        <x:v>60711.660550474975</x:v>
      </x:c>
      <x:c r="J8" s="58" t="inlineStr">
        <x:is>
          <x:t xml:space="preserve">Target margin price</x:t>
        </x:is>
      </x:c>
      <x:c r="K8" s="58" t="n">
        <x:f>INDEX(Engine!$C$63:$D$63,1,$K$2)</x:f>
        <x:v>1.6454392453571687</x:v>
      </x:c>
    </x:row>
    <x:row r="9">
      <x:c r="A9" s="399" t="n">
        <x:v>0.8</x:v>
      </x:c>
      <x:c r="B9" s="400" t="n">
        <x:f>B$5*$K$3*$A9-($K$5+$K$4*$K$3)</x:f>
        <x:v>-34292.339449525025</x:v>
      </x:c>
      <x:c r="C9" s="400" t="n">
        <x:f>C$5*$K$3*$A9-($K$5+$K$4*$K$3)</x:f>
        <x:v>-16196.339449525025</x:v>
      </x:c>
      <x:c r="D9" s="400" t="n">
        <x:f>D$5*$K$3*$A9-($K$5+$K$4*$K$3)</x:f>
        <x:v>1899.6605504750041</x:v>
      </x:c>
      <x:c r="E9" s="400" t="n">
        <x:f>E$5*$K$3*$A9-($K$5+$K$4*$K$3)</x:f>
        <x:v>19995.660550475004</x:v>
      </x:c>
      <x:c r="F9" s="400" t="n">
        <x:f>F$5*$K$3*$A9-($K$5+$K$4*$K$3)</x:f>
        <x:v>38091.660550475004</x:v>
      </x:c>
      <x:c r="G9" s="400" t="n">
        <x:f>G$5*$K$3*$A9-($K$5+$K$4*$K$3)</x:f>
        <x:v>56187.66055047503</x:v>
      </x:c>
      <x:c r="H9" s="400" t="n">
        <x:f>H$5*$K$3*$A9-($K$5+$K$4*$K$3)</x:f>
        <x:v>74283.66055047498</x:v>
      </x:c>
      <x:c r="J9" s="195" t="inlineStr">
        <x:is>
          <x:t xml:space="preserve">Selected customer rate</x:t>
        </x:is>
      </x:c>
      <x:c r="K9" s="195" t="n">
        <x:f>INDEX(Engine!$C$28:$D$28,1,$K$2)</x:f>
        <x:v>1.6660072359241334</x:v>
      </x:c>
    </x:row>
    <x:row r="10">
      <x:c r="A10" s="399" t="n">
        <x:v>0.85</x:v>
      </x:c>
      <x:c r="B10" s="400" t="n">
        <x:f>B$5*$K$3*$A10-($K$5+$K$4*$K$3)</x:f>
        <x:v>-27506.339449525025</x:v>
      </x:c>
      <x:c r="C10" s="400" t="n">
        <x:f>C$5*$K$3*$A10-($K$5+$K$4*$K$3)</x:f>
        <x:v>-8279.339449525025</x:v>
      </x:c>
      <x:c r="D10" s="400" t="n">
        <x:f>D$5*$K$3*$A10-($K$5+$K$4*$K$3)</x:f>
        <x:v>10947.660550475004</x:v>
      </x:c>
      <x:c r="E10" s="400" t="n">
        <x:f>E$5*$K$3*$A10-($K$5+$K$4*$K$3)</x:f>
        <x:v>30174.660550475004</x:v>
      </x:c>
      <x:c r="F10" s="400" t="n">
        <x:f>F$5*$K$3*$A10-($K$5+$K$4*$K$3)</x:f>
        <x:v>49401.660550475004</x:v>
      </x:c>
      <x:c r="G10" s="400" t="n">
        <x:f>G$5*$K$3*$A10-($K$5+$K$4*$K$3)</x:f>
        <x:v>68628.66055047503</x:v>
      </x:c>
      <x:c r="H10" s="400" t="n">
        <x:f>H$5*$K$3*$A10-($K$5+$K$4*$K$3)</x:f>
        <x:v>87855.66055047498</x:v>
      </x:c>
      <x:c r="J10" s="195" t="inlineStr">
        <x:is>
          <x:t xml:space="preserve">EBIT at selected rate</x:t>
        </x:is>
      </x:c>
      <x:c r="K10" s="195" t="n">
        <x:f>INDEX(Engine!$C$65:$D$65,1,$K$2)</x:f>
        <x:v>17858.54243119061</x:v>
      </x:c>
    </x:row>
    <x:row r="11">
      <x:c r="A11" s="399" t="n">
        <x:v>0.9</x:v>
      </x:c>
      <x:c r="B11" s="400" t="n">
        <x:f>B$5*$K$3*$A11-($K$5+$K$4*$K$3)</x:f>
        <x:v>-20720.339449525025</x:v>
      </x:c>
      <x:c r="C11" s="400" t="n">
        <x:f>C$5*$K$3*$A11-($K$5+$K$4*$K$3)</x:f>
        <x:v>-362.339449525025</x:v>
      </x:c>
      <x:c r="D11" s="400" t="n">
        <x:f>D$5*$K$3*$A11-($K$5+$K$4*$K$3)</x:f>
        <x:v>19995.660550475004</x:v>
      </x:c>
      <x:c r="E11" s="400" t="n">
        <x:f>E$5*$K$3*$A11-($K$5+$K$4*$K$3)</x:f>
        <x:v>40353.660550475004</x:v>
      </x:c>
      <x:c r="F11" s="400" t="n">
        <x:f>F$5*$K$3*$A11-($K$5+$K$4*$K$3)</x:f>
        <x:v>60711.660550475004</x:v>
      </x:c>
      <x:c r="G11" s="400" t="n">
        <x:f>G$5*$K$3*$A11-($K$5+$K$4*$K$3)</x:f>
        <x:v>81069.66055047503</x:v>
      </x:c>
      <x:c r="H11" s="400" t="n">
        <x:f>H$5*$K$3*$A11-($K$5+$K$4*$K$3)</x:f>
        <x:v>101427.66055047498</x:v>
      </x:c>
    </x:row>
    <x:row r="12">
      <x:c r="A12" s="399" t="n">
        <x:v>0.95</x:v>
      </x:c>
      <x:c r="B12" s="400" t="n">
        <x:f>B$5*$K$3*$A12-($K$5+$K$4*$K$3)</x:f>
        <x:v>-13934.339449525025</x:v>
      </x:c>
      <x:c r="C12" s="400" t="n">
        <x:f>C$5*$K$3*$A12-($K$5+$K$4*$K$3)</x:f>
        <x:v>7554.660550474975</x:v>
      </x:c>
      <x:c r="D12" s="400" t="n">
        <x:f>D$5*$K$3*$A12-($K$5+$K$4*$K$3)</x:f>
        <x:v>29043.660550475004</x:v>
      </x:c>
      <x:c r="E12" s="400" t="n">
        <x:f>E$5*$K$3*$A12-($K$5+$K$4*$K$3)</x:f>
        <x:v>50532.660550475004</x:v>
      </x:c>
      <x:c r="F12" s="400" t="n">
        <x:f>F$5*$K$3*$A12-($K$5+$K$4*$K$3)</x:f>
        <x:v>72021.660550475</x:v>
      </x:c>
      <x:c r="G12" s="400" t="n">
        <x:f>G$5*$K$3*$A12-($K$5+$K$4*$K$3)</x:f>
        <x:v>93510.66055047503</x:v>
      </x:c>
      <x:c r="H12" s="400" t="n">
        <x:f>H$5*$K$3*$A12-($K$5+$K$4*$K$3)</x:f>
        <x:v>114999.66055047498</x:v>
      </x:c>
    </x:row>
    <x:row r="14">
      <x:c r="A14" s="20" t="inlineStr">
        <x:is>
          <x:t xml:space="preserve">Scenario curve at current loaded ratio</x:t>
        </x:is>
      </x:c>
      <x:c r="B14" s="20" t="str"/>
      <x:c r="C14" s="20" t="str"/>
    </x:row>
    <x:row r="15">
      <x:c r="A15" s="20" t="inlineStr">
        <x:is>
          <x:t xml:space="preserve">Rate</x:t>
        </x:is>
      </x:c>
      <x:c r="B15" s="20" t="inlineStr">
        <x:is>
          <x:t xml:space="preserve">Long Distance EBIT</x:t>
        </x:is>
      </x:c>
      <x:c r="C15" s="20" t="inlineStr">
        <x:is>
          <x:t xml:space="preserve">Regional EBIT</x:t>
        </x:is>
      </x:c>
    </x:row>
    <x:row r="16">
      <x:c r="A16" s="401" t="n">
        <x:v>1.2</x:v>
      </x:c>
      <x:c r="B16" s="400" t="n">
        <x:f>$A16*Engine!$C$3*Engine!$C$8-(Engine!$C$57+Engine!$C$42*Engine!$C$3)</x:f>
        <x:v>-27099.17944952502</x:v>
      </x:c>
      <x:c r="C16" s="400" t="n">
        <x:f>$A16*Engine!$D$3*Engine!$D$8-(Engine!$D$57+Engine!$D$42*Engine!$D$3)</x:f>
        <x:v>-32148.953251</x:v>
      </x:c>
    </x:row>
    <x:row r="17">
      <x:c r="A17" s="401" t="n">
        <x:v>1.3</x:v>
      </x:c>
      <x:c r="B17" s="400" t="n">
        <x:f>$A17*Engine!$C$3*Engine!$C$8-(Engine!$C$57+Engine!$C$42*Engine!$C$3)</x:f>
        <x:v>-17451.749449525</x:v>
      </x:c>
      <x:c r="C17" s="400" t="n">
        <x:f>$A17*Engine!$D$3*Engine!$D$8-(Engine!$D$57+Engine!$D$42*Engine!$D$3)</x:f>
        <x:v>-24259.953251</x:v>
      </x:c>
    </x:row>
    <x:row r="18">
      <x:c r="A18" s="401" t="n">
        <x:v>1.4</x:v>
      </x:c>
      <x:c r="B18" s="400" t="n">
        <x:f>$A18*Engine!$C$3*Engine!$C$8-(Engine!$C$57+Engine!$C$42*Engine!$C$3)</x:f>
        <x:v>-7804.319449525035</x:v>
      </x:c>
      <x:c r="C18" s="400" t="n">
        <x:f>$A18*Engine!$D$3*Engine!$D$8-(Engine!$D$57+Engine!$D$42*Engine!$D$3)</x:f>
        <x:v>-16370.953250999999</x:v>
      </x:c>
    </x:row>
    <x:row r="19">
      <x:c r="A19" s="401" t="n">
        <x:v>1.5</x:v>
      </x:c>
      <x:c r="B19" s="400" t="n">
        <x:f>$A19*Engine!$C$3*Engine!$C$8-(Engine!$C$57+Engine!$C$42*Engine!$C$3)</x:f>
        <x:v>1843.1105504749867</x:v>
      </x:c>
      <x:c r="C19" s="400" t="n">
        <x:f>$A19*Engine!$D$3*Engine!$D$8-(Engine!$D$57+Engine!$D$42*Engine!$D$3)</x:f>
        <x:v>-8481.953250999999</x:v>
      </x:c>
    </x:row>
    <x:row r="20">
      <x:c r="A20" s="401" t="n">
        <x:v>1.6</x:v>
      </x:c>
      <x:c r="B20" s="400" t="n">
        <x:f>$A20*Engine!$C$3*Engine!$C$8-(Engine!$C$57+Engine!$C$42*Engine!$C$3)</x:f>
        <x:v>11490.540550475009</x:v>
      </x:c>
      <x:c r="C20" s="400" t="n">
        <x:f>$A20*Engine!$D$3*Engine!$D$8-(Engine!$D$57+Engine!$D$42*Engine!$D$3)</x:f>
        <x:v>-592.9532509999844</x:v>
      </x:c>
    </x:row>
    <x:row r="21">
      <x:c r="A21" s="401" t="n">
        <x:v>1.7</x:v>
      </x:c>
      <x:c r="B21" s="400" t="n">
        <x:f>$A21*Engine!$C$3*Engine!$C$8-(Engine!$C$57+Engine!$C$42*Engine!$C$3)</x:f>
        <x:v>21137.970550475</x:v>
      </x:c>
      <x:c r="C21" s="400" t="n">
        <x:f>$A21*Engine!$D$3*Engine!$D$8-(Engine!$D$57+Engine!$D$42*Engine!$D$3)</x:f>
        <x:v>7296.046749000001</x:v>
      </x:c>
    </x:row>
    <x:row r="22">
      <x:c r="A22" s="401" t="n">
        <x:v>1.8</x:v>
      </x:c>
      <x:c r="B22" s="400" t="n">
        <x:f>$A22*Engine!$C$3*Engine!$C$8-(Engine!$C$57+Engine!$C$42*Engine!$C$3)</x:f>
        <x:v>30785.400550474995</x:v>
      </x:c>
      <x:c r="C22" s="400" t="n">
        <x:f>$A22*Engine!$D$3*Engine!$D$8-(Engine!$D$57+Engine!$D$42*Engine!$D$3)</x:f>
        <x:v>15185.046749000001</x:v>
      </x:c>
    </x:row>
    <x:row r="23">
      <x:c r="A23" s="401" t="n">
        <x:v>1.9</x:v>
      </x:c>
      <x:c r="B23" s="400" t="n">
        <x:f>$A23*Engine!$C$3*Engine!$C$8-(Engine!$C$57+Engine!$C$42*Engine!$C$3)</x:f>
        <x:v>40432.83055047499</x:v>
      </x:c>
      <x:c r="C23" s="400" t="n">
        <x:f>$A23*Engine!$D$3*Engine!$D$8-(Engine!$D$57+Engine!$D$42*Engine!$D$3)</x:f>
        <x:v>23074.046749</x:v>
      </x:c>
    </x:row>
    <x:row r="24">
      <x:c r="A24" s="401" t="n">
        <x:v>2</x:v>
      </x:c>
      <x:c r="B24" s="400" t="n">
        <x:f>$A24*Engine!$C$3*Engine!$C$8-(Engine!$C$57+Engine!$C$42*Engine!$C$3)</x:f>
        <x:v>50080.26055047501</x:v>
      </x:c>
      <x:c r="C24" s="400" t="n">
        <x:f>$A24*Engine!$D$3*Engine!$D$8-(Engine!$D$57+Engine!$D$42*Engine!$D$3)</x:f>
        <x:v>30963.046749</x:v>
      </x:c>
    </x:row>
    <x:row r="25">
      <x:c r="A25" s="401" t="n">
        <x:v>2.1</x:v>
      </x:c>
      <x:c r="B25" s="400" t="n">
        <x:f>$A25*Engine!$C$3*Engine!$C$8-(Engine!$C$57+Engine!$C$42*Engine!$C$3)</x:f>
        <x:v>59727.690550475</x:v>
      </x:c>
      <x:c r="C25" s="400" t="n">
        <x:f>$A25*Engine!$D$3*Engine!$D$8-(Engine!$D$57+Engine!$D$42*Engine!$D$3)</x:f>
        <x:v>38852.046749</x:v>
      </x:c>
    </x:row>
    <x:row r="26">
      <x:c r="A26" s="401" t="n">
        <x:v>2.2</x:v>
      </x:c>
      <x:c r="B26" s="400" t="n">
        <x:f>$A26*Engine!$C$3*Engine!$C$8-(Engine!$C$57+Engine!$C$42*Engine!$C$3)</x:f>
        <x:v>69375.12055047503</x:v>
      </x:c>
      <x:c r="C26" s="400" t="n">
        <x:f>$A26*Engine!$D$3*Engine!$D$8-(Engine!$D$57+Engine!$D$42*Engine!$D$3)</x:f>
        <x:v>46741.04674900003</x:v>
      </x:c>
    </x:row>
    <x:row r="27">
      <x:c r="A27" s="401" t="n">
        <x:v>2.3</x:v>
      </x:c>
      <x:c r="B27" s="400" t="n">
        <x:f>$A27*Engine!$C$3*Engine!$C$8-(Engine!$C$57+Engine!$C$42*Engine!$C$3)</x:f>
        <x:v>79022.55055047496</x:v>
      </x:c>
      <x:c r="C27" s="400" t="n">
        <x:f>$A27*Engine!$D$3*Engine!$D$8-(Engine!$D$57+Engine!$D$42*Engine!$D$3)</x:f>
        <x:v>54630.046749</x:v>
      </x:c>
    </x:row>
    <x:row r="28">
      <x:c r="A28" s="401" t="n">
        <x:v>2.4</x:v>
      </x:c>
      <x:c r="B28" s="400" t="n">
        <x:f>$A28*Engine!$C$3*Engine!$C$8-(Engine!$C$57+Engine!$C$42*Engine!$C$3)</x:f>
        <x:v>88669.98055047498</x:v>
      </x:c>
      <x:c r="C28" s="400" t="n">
        <x:f>$A28*Engine!$D$3*Engine!$D$8-(Engine!$D$57+Engine!$D$42*Engine!$D$3)</x:f>
        <x:v>62519.046749</x:v>
      </x:c>
    </x:row>
    <x:row r="31">
      <x:c r="A31" s="402" t="inlineStr">
        <x:is>
          <x:t xml:space="preserve">Load capability sensitivity by vehicle type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</x:row>
    <x:row r="32" s="60" customFormat="1" ht="36" customHeight="1">
      <x:c r="A32" s="403" t="inlineStr">
        <x:is>
          <x:t xml:space="preserve">This section compares break-even by vehicle capability, from vans to high-capacity trucks. Use EUR/tonne-km when payload is the commercial constraint; use EUR/loaded-km when the truck is sold as a full-truck movement.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</x:row>
    <x:row r="33">
      <x:c r="A33" s="72" t="inlineStr">
        <x:is>
          <x:t xml:space="preserve">Vehicle class</x:t>
        </x:is>
      </x:c>
      <x:c r="B33" s="72" t="inlineStr">
        <x:is>
          <x:t xml:space="preserve">Payload capacity (t)</x:t>
        </x:is>
      </x:c>
      <x:c r="C33" s="72" t="inlineStr">
        <x:is>
          <x:t xml:space="preserve">Effective payload (t)</x:t>
        </x:is>
      </x:c>
      <x:c r="D33" s="72" t="inlineStr">
        <x:is>
          <x:t xml:space="preserve">Loaded km/year</x:t>
        </x:is>
      </x:c>
      <x:c r="E33" s="72" t="inlineStr">
        <x:is>
          <x:t xml:space="preserve">Annual tonne-km</x:t>
        </x:is>
      </x:c>
      <x:c r="F33" s="72" t="inlineStr">
        <x:is>
          <x:t xml:space="preserve">Total annual cost (EUR)</x:t>
        </x:is>
      </x:c>
      <x:c r="G33" s="72" t="inlineStr">
        <x:is>
          <x:t xml:space="preserve">Break-even EUR/loaded km</x:t>
        </x:is>
      </x:c>
      <x:c r="H33" s="72" t="inlineStr">
        <x:is>
          <x:t xml:space="preserve">Break-even EUR/tonne-km</x:t>
        </x:is>
      </x:c>
      <x:c r="I33" s="72" t="inlineStr">
        <x:is>
          <x:t xml:space="preserve">Availability / validation note</x:t>
        </x:is>
      </x:c>
      <x:c r="J33" s="72" t="inlineStr">
        <x:is>
          <x:t xml:space="preserve">Source URL</x:t>
        </x:is>
      </x:c>
      <x:c r="K33" s="72" t="inlineStr">
        <x:is>
          <x:t xml:space="preserve">Data type</x:t>
        </x:is>
      </x:c>
    </x:row>
    <x:row r="34">
      <x:c r="A34" s="91" t="str">
        <x:f>'Vehicle Classes'!A5</x:f>
        <x:v>Small van</x:v>
      </x:c>
      <x:c r="B34" s="404" t="n">
        <x:f>'Vehicle Classes'!D5</x:f>
        <x:v>1.2</x:v>
      </x:c>
      <x:c r="C34" s="404" t="n">
        <x:f>'Vehicle Classes'!F5</x:f>
        <x:v>0.8999999999999999</x:v>
      </x:c>
      <x:c r="D34" s="405" t="n">
        <x:f>'Vehicle Classes'!I5</x:f>
        <x:v>31499.999999999996</x:v>
      </x:c>
      <x:c r="E34" s="405" t="n">
        <x:f>D34*C34</x:f>
        <x:v>28349.999999999993</x:v>
      </x:c>
      <x:c r="F34" s="406" t="n">
        <x:f>'Vehicle Classes'!R5</x:f>
        <x:v>59910.117771875</x:v>
      </x:c>
      <x:c r="G34" s="407" t="n">
        <x:f>'Vehicle Classes'!S5</x:f>
        <x:v>1.9019085006944445</x:v>
      </x:c>
      <x:c r="H34" s="408" t="n">
        <x:f>'Vehicle Classes'!T5</x:f>
        <x:v>2.113231667438272</x:v>
      </x:c>
      <x:c r="I34" s="92" t="str">
        <x:f>'Vehicle Classes'!U5</x:f>
        <x:v>Model assumption; validate payload against actual van spec</x:v>
      </x:c>
      <x:c r="J34" s="92" t="str">
        <x:f>'Vehicle Classes'!V5</x:f>
        <x:v>https://climate.ec.europa.eu/system/files/2017-03/hdv_lightweighting_en.pdf</x:v>
      </x:c>
      <x:c r="K34" s="93" t="str">
        <x:f>'Vehicle Classes'!W5</x:f>
        <x:v>Editable</x:v>
      </x:c>
    </x:row>
    <x:row r="35">
      <x:c r="A35" s="94" t="str">
        <x:f>'Vehicle Classes'!A6</x:f>
        <x:v>Large van 3.5t</x:v>
      </x:c>
      <x:c r="B35" s="409" t="n">
        <x:f>'Vehicle Classes'!D6</x:f>
        <x:v>2</x:v>
      </x:c>
      <x:c r="C35" s="409" t="n">
        <x:f>'Vehicle Classes'!F6</x:f>
        <x:v>1.5</x:v>
      </x:c>
      <x:c r="D35" s="410" t="n">
        <x:f>'Vehicle Classes'!I6</x:f>
        <x:v>46800</x:v>
      </x:c>
      <x:c r="E35" s="410" t="n">
        <x:f>D35*C35</x:f>
        <x:v>70200</x:v>
      </x:c>
      <x:c r="F35" s="411" t="n">
        <x:f>'Vehicle Classes'!R6</x:f>
        <x:v>75971.092075</x:v>
      </x:c>
      <x:c r="G35" s="412" t="n">
        <x:f>'Vehicle Classes'!S6</x:f>
        <x:v>1.6233139332264956</x:v>
      </x:c>
      <x:c r="H35" s="413" t="n">
        <x:f>'Vehicle Classes'!T6</x:f>
        <x:v>1.0822092888176638</x:v>
      </x:c>
      <x:c r="I35" s="95" t="str">
        <x:f>'Vehicle Classes'!U6</x:f>
        <x:v>3.5t GVW large van; payload can reach about 2t depending on body/spec</x:v>
      </x:c>
      <x:c r="J35" s="95" t="str">
        <x:f>'Vehicle Classes'!V6</x:f>
        <x:v>https://climate.ec.europa.eu/system/files/2017-03/hdv_lightweighting_en.pdf</x:v>
      </x:c>
      <x:c r="K35" s="96" t="str">
        <x:f>'Vehicle Classes'!W6</x:f>
        <x:v>Editable</x:v>
      </x:c>
    </x:row>
    <x:row r="36">
      <x:c r="A36" s="94" t="str">
        <x:f>'Vehicle Classes'!A7</x:f>
        <x:v>Light truck 7.5t</x:v>
      </x:c>
      <x:c r="B36" s="409" t="n">
        <x:f>'Vehicle Classes'!D7</x:f>
        <x:v>3.5</x:v>
      </x:c>
      <x:c r="C36" s="409" t="n">
        <x:f>'Vehicle Classes'!F7</x:f>
        <x:v>2.8000000000000003</x:v>
      </x:c>
      <x:c r="D36" s="410" t="n">
        <x:f>'Vehicle Classes'!I7</x:f>
        <x:v>56250</x:v>
      </x:c>
      <x:c r="E36" s="410" t="n">
        <x:f>D36*C36</x:f>
        <x:v>157500.00000000003</x:v>
      </x:c>
      <x:c r="F36" s="411" t="n">
        <x:f>'Vehicle Classes'!R7</x:f>
        <x:v>105186.29550000001</x:v>
      </x:c>
      <x:c r="G36" s="412" t="n">
        <x:f>'Vehicle Classes'!S7</x:f>
        <x:v>1.8699785866666667</x:v>
      </x:c>
      <x:c r="H36" s="413" t="n">
        <x:f>'Vehicle Classes'!T7</x:f>
        <x:v>0.6678494952380951</x:v>
      </x:c>
      <x:c r="I36" s="95" t="str">
        <x:f>'Vehicle Classes'!U7</x:f>
        <x:v>Operational class assumption; validate by vehicle body and national rules</x:v>
      </x:c>
      <x:c r="J36" s="95" t="n">
        <x:f>'Vehicle Classes'!V7</x:f>
        <x:v>0</x:v>
      </x:c>
      <x:c r="K36" s="96" t="str">
        <x:f>'Vehicle Classes'!W7</x:f>
        <x:v>Editable</x:v>
      </x:c>
    </x:row>
    <x:row r="37">
      <x:c r="A37" s="94" t="str">
        <x:f>'Vehicle Classes'!A8</x:f>
        <x:v>Medium rigid 12t</x:v>
      </x:c>
      <x:c r="B37" s="409" t="n">
        <x:f>'Vehicle Classes'!D8</x:f>
        <x:v>6</x:v>
      </x:c>
      <x:c r="C37" s="409" t="n">
        <x:f>'Vehicle Classes'!F8</x:f>
        <x:v>4.92</x:v>
      </x:c>
      <x:c r="D37" s="410" t="n">
        <x:f>'Vehicle Classes'!I8</x:f>
        <x:v>62400</x:v>
      </x:c>
      <x:c r="E37" s="410" t="n">
        <x:f>D37*C37</x:f>
        <x:v>307008</x:v>
      </x:c>
      <x:c r="F37" s="411" t="n">
        <x:f>'Vehicle Classes'!R8</x:f>
        <x:v>136873.2334</x:v>
      </x:c>
      <x:c r="G37" s="412" t="n">
        <x:f>'Vehicle Classes'!S8</x:f>
        <x:v>2.1934813044871793</x:v>
      </x:c>
      <x:c r="H37" s="413" t="n">
        <x:f>'Vehicle Classes'!T8</x:f>
        <x:v>0.44582953343235354</x:v>
      </x:c>
      <x:c r="I37" s="95" t="str">
        <x:f>'Vehicle Classes'!U8</x:f>
        <x:v>Operational class assumption; payload depends on body and axle setup</x:v>
      </x:c>
      <x:c r="J37" s="95" t="n">
        <x:f>'Vehicle Classes'!V8</x:f>
        <x:v>0</x:v>
      </x:c>
      <x:c r="K37" s="96" t="str">
        <x:f>'Vehicle Classes'!W8</x:f>
        <x:v>Editable</x:v>
      </x:c>
    </x:row>
    <x:row r="38">
      <x:c r="A38" s="94" t="str">
        <x:f>'Vehicle Classes'!A9</x:f>
        <x:v>Rigid truck 18t</x:v>
      </x:c>
      <x:c r="B38" s="409" t="n">
        <x:f>'Vehicle Classes'!D9</x:f>
        <x:v>9</x:v>
      </x:c>
      <x:c r="C38" s="409" t="n">
        <x:f>'Vehicle Classes'!F9</x:f>
        <x:v>7.6499999999999995</x:v>
      </x:c>
      <x:c r="D38" s="410" t="n">
        <x:f>'Vehicle Classes'!I9</x:f>
        <x:v>68000</x:v>
      </x:c>
      <x:c r="E38" s="410" t="n">
        <x:f>D38*C38</x:f>
        <x:v>520199.99999999994</x:v>
      </x:c>
      <x:c r="F38" s="411" t="n">
        <x:f>'Vehicle Classes'!R9</x:f>
        <x:v>169093.79014375</x:v>
      </x:c>
      <x:c r="G38" s="412" t="n">
        <x:f>'Vehicle Classes'!S9</x:f>
        <x:v>2.4866733844669118</x:v>
      </x:c>
      <x:c r="H38" s="413" t="n">
        <x:f>'Vehicle Classes'!T9</x:f>
        <x:v>0.32505534437475975</x:v>
      </x:c>
      <x:c r="I38" s="95" t="str">
        <x:f>'Vehicle Classes'!U9</x:f>
        <x:v>Operational class assumption; common distribution/retail class</x:v>
      </x:c>
      <x:c r="J38" s="95" t="n">
        <x:f>'Vehicle Classes'!V9</x:f>
        <x:v>0</x:v>
      </x:c>
      <x:c r="K38" s="96" t="str">
        <x:f>'Vehicle Classes'!W9</x:f>
        <x:v>Editable</x:v>
      </x:c>
    </x:row>
    <x:row r="39">
      <x:c r="A39" s="94" t="str">
        <x:f>'Vehicle Classes'!A10</x:f>
        <x:v>Rigid truck 26t</x:v>
      </x:c>
      <x:c r="B39" s="409" t="n">
        <x:f>'Vehicle Classes'!D10</x:f>
        <x:v>14</x:v>
      </x:c>
      <x:c r="C39" s="409" t="n">
        <x:f>'Vehicle Classes'!F10</x:f>
        <x:v>11.9</x:v>
      </x:c>
      <x:c r="D39" s="410" t="n">
        <x:f>'Vehicle Classes'!I10</x:f>
        <x:v>73800</x:v>
      </x:c>
      <x:c r="E39" s="410" t="n">
        <x:f>D39*C39</x:f>
        <x:v>878220</x:v>
      </x:c>
      <x:c r="F39" s="411" t="n">
        <x:f>'Vehicle Classes'!R10</x:f>
        <x:v>203308.1370375</x:v>
      </x:c>
      <x:c r="G39" s="412" t="n">
        <x:f>'Vehicle Classes'!S10</x:f>
        <x:v>2.754852805386179</x:v>
      </x:c>
      <x:c r="H39" s="413" t="n">
        <x:f>'Vehicle Classes'!T10</x:f>
        <x:v>0.23150023574673773</x:v>
      </x:c>
      <x:c r="I39" s="95" t="str">
        <x:f>'Vehicle Classes'!U10</x:f>
        <x:v>Operational class assumption; common 3-axle heavy rigid class</x:v>
      </x:c>
      <x:c r="J39" s="95" t="n">
        <x:f>'Vehicle Classes'!V10</x:f>
        <x:v>0</x:v>
      </x:c>
      <x:c r="K39" s="96" t="str">
        <x:f>'Vehicle Classes'!W10</x:f>
        <x:v>Editable</x:v>
      </x:c>
    </x:row>
    <x:row r="40">
      <x:c r="A40" s="94" t="str">
        <x:f>'Vehicle Classes'!A11</x:f>
        <x:v>Articulated 40t</x:v>
      </x:c>
      <x:c r="B40" s="409" t="n">
        <x:f>'Vehicle Classes'!D11</x:f>
        <x:v>24</x:v>
      </x:c>
      <x:c r="C40" s="409" t="n">
        <x:f>'Vehicle Classes'!F11</x:f>
        <x:v>20.832</x:v>
      </x:c>
      <x:c r="D40" s="410" t="n">
        <x:f>'Vehicle Classes'!I11</x:f>
        <x:v>96474.3</x:v>
      </x:c>
      <x:c r="E40" s="410" t="n">
        <x:f>D40*C40</x:f>
        <x:v>2009752.6176000002</x:v>
      </x:c>
      <x:c r="F40" s="411" t="n">
        <x:f>'Vehicle Classes'!R11</x:f>
        <x:v>154127.70559992502</x:v>
      </x:c>
      <x:c r="G40" s="412" t="n">
        <x:f>'Vehicle Classes'!S11</x:f>
        <x:v>1.5976037721955485</x:v>
      </x:c>
      <x:c r="H40" s="413" t="n">
        <x:f>'Vehicle Classes'!T11</x:f>
        <x:v>0.0766898892182963</x:v>
      </x:c>
      <x:c r="I40" s="95" t="str">
        <x:f>'Vehicle Classes'!U11</x:f>
        <x:v>Standard EU heavy-goods reference class; original model anchor</x:v>
      </x:c>
      <x:c r="J40" s="95" t="str">
        <x:f>'Vehicle Classes'!V11</x:f>
        <x:v>https://ec.europa.eu/commission/presscorner/detail/en/MEMO_13_329</x:v>
      </x:c>
      <x:c r="K40" s="96" t="str">
        <x:f>'Vehicle Classes'!W11</x:f>
        <x:v>Editable</x:v>
      </x:c>
    </x:row>
    <x:row r="41">
      <x:c r="A41" s="94" t="str">
        <x:f>'Vehicle Classes'!A12</x:f>
        <x:v>Articulated 44t</x:v>
      </x:c>
      <x:c r="B41" s="409" t="n">
        <x:f>'Vehicle Classes'!D12</x:f>
        <x:v>28</x:v>
      </x:c>
      <x:c r="C41" s="409" t="n">
        <x:f>'Vehicle Classes'!F12</x:f>
        <x:v>24.64</x:v>
      </x:c>
      <x:c r="D41" s="410" t="n">
        <x:f>'Vehicle Classes'!I12</x:f>
        <x:v>97266</x:v>
      </x:c>
      <x:c r="E41" s="410" t="n">
        <x:f>D41*C41</x:f>
        <x:v>2396634.24</x:v>
      </x:c>
      <x:c r="F41" s="411" t="n">
        <x:f>'Vehicle Classes'!R12</x:f>
        <x:v>178169.4464560625</x:v>
      </x:c>
      <x:c r="G41" s="412" t="n">
        <x:f>'Vehicle Classes'!S12</x:f>
        <x:v>1.8317751984872668</x:v>
      </x:c>
      <x:c r="H41" s="413" t="n">
        <x:f>'Vehicle Classes'!T12</x:f>
        <x:v>0.07434152591263257</x:v>
      </x:c>
      <x:c r="I41" s="95" t="str">
        <x:f>'Vehicle Classes'!U12</x:f>
        <x:v>44t only where rules allow, especially combined/intermodal transport</x:v>
      </x:c>
      <x:c r="J41" s="95" t="str">
        <x:f>'Vehicle Classes'!V12</x:f>
        <x:v>https://ec.europa.eu/commission/presscorner/detail/en/MEMO_13_329</x:v>
      </x:c>
      <x:c r="K41" s="96" t="str">
        <x:f>'Vehicle Classes'!W12</x:f>
        <x:v>Editable</x:v>
      </x:c>
    </x:row>
    <x:row r="42">
      <x:c r="A42" s="97" t="str">
        <x:f>'Vehicle Classes'!A13</x:f>
        <x:v>EMS / high-capacity 60t</x:v>
      </x:c>
      <x:c r="B42" s="414" t="n">
        <x:f>'Vehicle Classes'!D13</x:f>
        <x:v>38</x:v>
      </x:c>
      <x:c r="C42" s="414" t="n">
        <x:f>'Vehicle Classes'!F13</x:f>
        <x:v>34.2</x:v>
      </x:c>
      <x:c r="D42" s="415" t="n">
        <x:f>'Vehicle Classes'!I13</x:f>
        <x:v>101200</x:v>
      </x:c>
      <x:c r="E42" s="415" t="n">
        <x:f>D42*C42</x:f>
        <x:v>3461040.0000000005</x:v>
      </x:c>
      <x:c r="F42" s="416" t="n">
        <x:f>'Vehicle Classes'!R13</x:f>
        <x:v>226940.89934375</x:v>
      </x:c>
      <x:c r="G42" s="417" t="n">
        <x:f>'Vehicle Classes'!S13</x:f>
        <x:v>2.242499005373024</x:v>
      </x:c>
      <x:c r="H42" s="418" t="n">
        <x:f>'Vehicle Classes'!T13</x:f>
        <x:v>0.06557014635593636</x:v>
      </x:c>
      <x:c r="I42" s="98" t="str">
        <x:f>'Vehicle Classes'!U13</x:f>
        <x:v>Not universal EU-wide; EMS/high-capacity combinations are country/route dependent</x:v>
      </x:c>
      <x:c r="J42" s="98" t="str">
        <x:f>'Vehicle Classes'!V13</x:f>
        <x:v>https://transport.ec.europa.eu/document/download/45e1073e-373a-4156-966b-0523915dec9f_en?filename=SWD_2023_70_implementation_report_amendments_dir_96_53.pdf</x:v>
      </x:c>
      <x:c r="K42" s="99" t="str">
        <x:f>'Vehicle Classes'!W13</x:f>
        <x:v>Editable</x:v>
      </x:c>
    </x:row>
    <x:row r="45">
      <x:c r="A45" s="381" t="inlineStr">
        <x:is>
          <x:t xml:space="preserve">Payload utilisation matrix - break-even EUR per tonne-km</x:t>
        </x:is>
      </x:c>
      <x:c r="B45" s="1" t="n"/>
      <x:c r="C45" s="1" t="n"/>
      <x:c r="D45" s="1" t="n"/>
      <x:c r="E45" s="1" t="n"/>
      <x:c r="F45" s="1" t="n"/>
      <x:c r="G45" s="1" t="n"/>
      <x:c r="I45" s="381" t="inlineStr">
        <x:is>
          <x:t xml:space="preserve">How to read</x:t>
        </x:is>
      </x:c>
      <x:c r="J45" s="1" t="n"/>
      <x:c r="K45" s="1" t="n"/>
    </x:row>
    <x:row r="46" s="60" customFormat="1" ht="30" customHeight="1">
      <x:c r="A46" s="403" t="inlineStr">
        <x:is>
          <x:t xml:space="preserve">The same truck becomes materially more expensive per tonne-km when it runs below payload potential. This matrix isolates that effect while holding loaded km and annual cost constant by vehicle type.</x:t>
        </x:is>
      </x:c>
      <x:c r="B46" s="1" t="n"/>
      <x:c r="C46" s="1" t="n"/>
      <x:c r="D46" s="1" t="n"/>
      <x:c r="E46" s="1" t="n"/>
      <x:c r="F46" s="1" t="n"/>
      <x:c r="G46" s="1" t="n"/>
      <x:c r="I46" s="82" t="inlineStr">
        <x:is>
          <x:t xml:space="preserve">Full-truck pricing</x:t>
        </x:is>
      </x:c>
      <x:c r="J46" s="83" t="inlineStr">
        <x:is>
          <x:t xml:space="preserve">Use EUR/loaded km</x:t>
        </x:is>
      </x:c>
      <x:c r="K46" s="84" t="inlineStr">
        <x:is>
          <x:t xml:space="preserve">Best for dedicated FTL movement.</x:t>
        </x:is>
      </x:c>
    </x:row>
    <x:row r="47" s="60" customFormat="1" ht="30" customHeight="1">
      <x:c r="I47" s="85" t="inlineStr">
        <x:is>
          <x:t xml:space="preserve">Commodity density pricing</x:t>
        </x:is>
      </x:c>
      <x:c r="J47" s="86" t="inlineStr">
        <x:is>
          <x:t xml:space="preserve">Use EUR/tonne-km</x:t>
        </x:is>
      </x:c>
      <x:c r="K47" s="87" t="inlineStr">
        <x:is>
          <x:t xml:space="preserve">Best when payload tonnes are the constraint.</x:t>
        </x:is>
      </x:c>
    </x:row>
    <x:row r="48" s="60" customFormat="1" ht="30" customHeight="1">
      <x:c r="A48" s="144" t="inlineStr">
        <x:is>
          <x:t xml:space="preserve">Vehicle class</x:t>
        </x:is>
      </x:c>
      <x:c r="B48" s="419" t="n">
        <x:v>0.5</x:v>
      </x:c>
      <x:c r="C48" s="419" t="n">
        <x:v>0.65</x:v>
      </x:c>
      <x:c r="D48" s="419" t="n">
        <x:v>0.8</x:v>
      </x:c>
      <x:c r="E48" s="419" t="n">
        <x:v>0.9</x:v>
      </x:c>
      <x:c r="F48" s="419" t="n">
        <x:v>1</x:v>
      </x:c>
      <x:c r="G48" s="144" t="inlineStr">
        <x:is>
          <x:t xml:space="preserve">Base payload util.</x:t>
        </x:is>
      </x:c>
      <x:c r="I48" s="85" t="inlineStr">
        <x:is>
          <x:t xml:space="preserve">Underloaded risk</x:t>
        </x:is>
      </x:c>
      <x:c r="J48" s="86" t="inlineStr">
        <x:is>
          <x:t xml:space="preserve">Compare 50%-80% columns</x:t>
        </x:is>
      </x:c>
      <x:c r="K48" s="87" t="inlineStr">
        <x:is>
          <x:t xml:space="preserve">Shows break-even damage from low utilisation.</x:t>
        </x:is>
      </x:c>
    </x:row>
    <x:row r="49" s="60" customFormat="1" ht="30" customHeight="1">
      <x:c r="A49" s="73" t="str">
        <x:f>'Vehicle Classes'!A5</x:f>
        <x:v>Small van</x:v>
      </x:c>
      <x:c r="B49" s="420" t="n">
        <x:f>IFERROR('Vehicle Classes'!$R5/('Vehicle Classes'!$I5*('Vehicle Classes'!$D5*B$48)),"")</x:f>
        <x:v>3.169847501157408</x:v>
      </x:c>
      <x:c r="C49" s="420" t="n">
        <x:f>IFERROR('Vehicle Classes'!$R5/('Vehicle Classes'!$I5*('Vehicle Classes'!$D5*C$48)),"")</x:f>
        <x:v>2.4383442316595443</x:v>
      </x:c>
      <x:c r="D49" s="420" t="n">
        <x:f>IFERROR('Vehicle Classes'!$R5/('Vehicle Classes'!$I5*('Vehicle Classes'!$D5*D$48)),"")</x:f>
        <x:v>1.9811546882233797</x:v>
      </x:c>
      <x:c r="E49" s="420" t="n">
        <x:f>IFERROR('Vehicle Classes'!$R5/('Vehicle Classes'!$I5*('Vehicle Classes'!$D5*E$48)),"")</x:f>
        <x:v>1.761026389531893</x:v>
      </x:c>
      <x:c r="F49" s="420" t="n">
        <x:f>IFERROR('Vehicle Classes'!$R5/('Vehicle Classes'!$I5*('Vehicle Classes'!$D5*F$48)),"")</x:f>
        <x:v>1.584923750578704</x:v>
      </x:c>
      <x:c r="G49" s="421" t="n">
        <x:f>'Vehicle Classes'!E5</x:f>
        <x:v>0.75</x:v>
      </x:c>
      <x:c r="I49" s="88" t="inlineStr">
        <x:is>
          <x:t xml:space="preserve">High-capacity trucks</x:t>
        </x:is>
      </x:c>
      <x:c r="J49" s="89" t="inlineStr">
        <x:is>
          <x:t xml:space="preserve">Check availability note</x:t>
        </x:is>
      </x:c>
      <x:c r="K49" s="90" t="inlineStr">
        <x:is>
          <x:t xml:space="preserve">EMS/60t is not universally allowed.</x:t>
        </x:is>
      </x:c>
    </x:row>
    <x:row r="50">
      <x:c r="A50" s="76" t="str">
        <x:f>'Vehicle Classes'!A6</x:f>
        <x:v>Large van 3.5t</x:v>
      </x:c>
      <x:c r="B50" s="422" t="n">
        <x:f>IFERROR('Vehicle Classes'!$R6/('Vehicle Classes'!$I6*('Vehicle Classes'!$D6*B$48)),"")</x:f>
        <x:v>1.6233139332264956</x:v>
      </x:c>
      <x:c r="C50" s="422" t="n">
        <x:f>IFERROR('Vehicle Classes'!$R6/('Vehicle Classes'!$I6*('Vehicle Classes'!$D6*C$48)),"")</x:f>
        <x:v>1.2487030255588427</x:v>
      </x:c>
      <x:c r="D50" s="422" t="n">
        <x:f>IFERROR('Vehicle Classes'!$R6/('Vehicle Classes'!$I6*('Vehicle Classes'!$D6*D$48)),"")</x:f>
        <x:v>1.0145712082665597</x:v>
      </x:c>
      <x:c r="E50" s="422" t="n">
        <x:f>IFERROR('Vehicle Classes'!$R6/('Vehicle Classes'!$I6*('Vehicle Classes'!$D6*E$48)),"")</x:f>
        <x:v>0.9018410740147198</x:v>
      </x:c>
      <x:c r="F50" s="422" t="n">
        <x:f>IFERROR('Vehicle Classes'!$R6/('Vehicle Classes'!$I6*('Vehicle Classes'!$D6*F$48)),"")</x:f>
        <x:v>0.8116569666132478</x:v>
      </x:c>
      <x:c r="G50" s="423" t="n">
        <x:f>'Vehicle Classes'!E6</x:f>
        <x:v>0.75</x:v>
      </x:c>
    </x:row>
    <x:row r="51">
      <x:c r="A51" s="76" t="str">
        <x:f>'Vehicle Classes'!A7</x:f>
        <x:v>Light truck 7.5t</x:v>
      </x:c>
      <x:c r="B51" s="422" t="n">
        <x:f>IFERROR('Vehicle Classes'!$R7/('Vehicle Classes'!$I7*('Vehicle Classes'!$D7*B$48)),"")</x:f>
        <x:v>1.0685591923809525</x:v>
      </x:c>
      <x:c r="C51" s="422" t="n">
        <x:f>IFERROR('Vehicle Classes'!$R7/('Vehicle Classes'!$I7*('Vehicle Classes'!$D7*C$48)),"")</x:f>
        <x:v>0.8219686095238096</x:v>
      </x:c>
      <x:c r="D51" s="422" t="n">
        <x:f>IFERROR('Vehicle Classes'!$R7/('Vehicle Classes'!$I7*('Vehicle Classes'!$D7*D$48)),"")</x:f>
        <x:v>0.6678494952380951</x:v>
      </x:c>
      <x:c r="E51" s="422" t="n">
        <x:f>IFERROR('Vehicle Classes'!$R7/('Vehicle Classes'!$I7*('Vehicle Classes'!$D7*E$48)),"")</x:f>
        <x:v>0.5936439957671958</x:v>
      </x:c>
      <x:c r="F51" s="422" t="n">
        <x:f>IFERROR('Vehicle Classes'!$R7/('Vehicle Classes'!$I7*('Vehicle Classes'!$D7*F$48)),"")</x:f>
        <x:v>0.5342795961904763</x:v>
      </x:c>
      <x:c r="G51" s="423" t="n">
        <x:f>'Vehicle Classes'!E7</x:f>
        <x:v>0.8</x:v>
      </x:c>
    </x:row>
    <x:row r="52">
      <x:c r="A52" s="76" t="str">
        <x:f>'Vehicle Classes'!A8</x:f>
        <x:v>Medium rigid 12t</x:v>
      </x:c>
      <x:c r="B52" s="422" t="n">
        <x:f>IFERROR('Vehicle Classes'!$R8/('Vehicle Classes'!$I8*('Vehicle Classes'!$D8*B$48)),"")</x:f>
        <x:v>0.7311604348290598</x:v>
      </x:c>
      <x:c r="C52" s="422" t="n">
        <x:f>IFERROR('Vehicle Classes'!$R8/('Vehicle Classes'!$I8*('Vehicle Classes'!$D8*C$48)),"")</x:f>
        <x:v>0.5624311037146613</x:v>
      </x:c>
      <x:c r="D52" s="422" t="n">
        <x:f>IFERROR('Vehicle Classes'!$R8/('Vehicle Classes'!$I8*('Vehicle Classes'!$D8*D$48)),"")</x:f>
        <x:v>0.45697527176816227</x:v>
      </x:c>
      <x:c r="E52" s="422" t="n">
        <x:f>IFERROR('Vehicle Classes'!$R8/('Vehicle Classes'!$I8*('Vehicle Classes'!$D8*E$48)),"")</x:f>
        <x:v>0.40620024157169987</x:v>
      </x:c>
      <x:c r="F52" s="422" t="n">
        <x:f>IFERROR('Vehicle Classes'!$R8/('Vehicle Classes'!$I8*('Vehicle Classes'!$D8*F$48)),"")</x:f>
        <x:v>0.3655802174145299</x:v>
      </x:c>
      <x:c r="G52" s="423" t="n">
        <x:f>'Vehicle Classes'!E8</x:f>
        <x:v>0.82</x:v>
      </x:c>
    </x:row>
    <x:row r="53">
      <x:c r="A53" s="76" t="str">
        <x:f>'Vehicle Classes'!A9</x:f>
        <x:v>Rigid truck 18t</x:v>
      </x:c>
      <x:c r="B53" s="422" t="n">
        <x:f>IFERROR('Vehicle Classes'!$R9/('Vehicle Classes'!$I9*('Vehicle Classes'!$D9*B$48)),"")</x:f>
        <x:v>0.5525940854370915</x:v>
      </x:c>
      <x:c r="C53" s="422" t="n">
        <x:f>IFERROR('Vehicle Classes'!$R9/('Vehicle Classes'!$I9*('Vehicle Classes'!$D9*C$48)),"")</x:f>
        <x:v>0.42507237341314724</x:v>
      </x:c>
      <x:c r="D53" s="422" t="n">
        <x:f>IFERROR('Vehicle Classes'!$R9/('Vehicle Classes'!$I9*('Vehicle Classes'!$D9*D$48)),"")</x:f>
        <x:v>0.3453713033981822</x:v>
      </x:c>
      <x:c r="E53" s="422" t="n">
        <x:f>IFERROR('Vehicle Classes'!$R9/('Vehicle Classes'!$I9*('Vehicle Classes'!$D9*E$48)),"")</x:f>
        <x:v>0.3069967141317175</x:v>
      </x:c>
      <x:c r="F53" s="422" t="n">
        <x:f>IFERROR('Vehicle Classes'!$R9/('Vehicle Classes'!$I9*('Vehicle Classes'!$D9*F$48)),"")</x:f>
        <x:v>0.27629704271854577</x:v>
      </x:c>
      <x:c r="G53" s="423" t="n">
        <x:f>'Vehicle Classes'!E9</x:f>
        <x:v>0.85</x:v>
      </x:c>
    </x:row>
    <x:row r="54">
      <x:c r="A54" s="76" t="str">
        <x:f>'Vehicle Classes'!A10</x:f>
        <x:v>Rigid truck 26t</x:v>
      </x:c>
      <x:c r="B54" s="422" t="n">
        <x:f>IFERROR('Vehicle Classes'!$R10/('Vehicle Classes'!$I10*('Vehicle Classes'!$D10*B$48)),"")</x:f>
        <x:v>0.39355040076945413</x:v>
      </x:c>
      <x:c r="C54" s="422" t="n">
        <x:f>IFERROR('Vehicle Classes'!$R10/('Vehicle Classes'!$I10*('Vehicle Classes'!$D10*C$48)),"")</x:f>
        <x:v>0.30273107751496475</x:v>
      </x:c>
      <x:c r="D54" s="422" t="n">
        <x:f>IFERROR('Vehicle Classes'!$R10/('Vehicle Classes'!$I10*('Vehicle Classes'!$D10*D$48)),"")</x:f>
        <x:v>0.2459690004809088</x:v>
      </x:c>
      <x:c r="E54" s="422" t="n">
        <x:f>IFERROR('Vehicle Classes'!$R10/('Vehicle Classes'!$I10*('Vehicle Classes'!$D10*E$48)),"")</x:f>
        <x:v>0.21863911153858565</x:v>
      </x:c>
      <x:c r="F54" s="422" t="n">
        <x:f>IFERROR('Vehicle Classes'!$R10/('Vehicle Classes'!$I10*('Vehicle Classes'!$D10*F$48)),"")</x:f>
        <x:v>0.19677520038472707</x:v>
      </x:c>
      <x:c r="G54" s="423" t="n">
        <x:f>'Vehicle Classes'!E10</x:f>
        <x:v>0.85</x:v>
      </x:c>
    </x:row>
    <x:row r="55">
      <x:c r="A55" s="76" t="str">
        <x:f>'Vehicle Classes'!A11</x:f>
        <x:v>Articulated 40t</x:v>
      </x:c>
      <x:c r="B55" s="422" t="n">
        <x:f>IFERROR('Vehicle Classes'!$R11/('Vehicle Classes'!$I11*('Vehicle Classes'!$D11*B$48)),"")</x:f>
        <x:v>0.13313364768296237</x:v>
      </x:c>
      <x:c r="C55" s="422" t="n">
        <x:f>IFERROR('Vehicle Classes'!$R11/('Vehicle Classes'!$I11*('Vehicle Classes'!$D11*C$48)),"")</x:f>
        <x:v>0.10241049821766336</x:v>
      </x:c>
      <x:c r="D55" s="422" t="n">
        <x:f>IFERROR('Vehicle Classes'!$R11/('Vehicle Classes'!$I11*('Vehicle Classes'!$D11*D$48)),"")</x:f>
        <x:v>0.08320852980185148</x:v>
      </x:c>
      <x:c r="E55" s="422" t="n">
        <x:f>IFERROR('Vehicle Classes'!$R11/('Vehicle Classes'!$I11*('Vehicle Classes'!$D11*E$48)),"")</x:f>
        <x:v>0.07396313760164576</x:v>
      </x:c>
      <x:c r="F55" s="422" t="n">
        <x:f>IFERROR('Vehicle Classes'!$R11/('Vehicle Classes'!$I11*('Vehicle Classes'!$D11*F$48)),"")</x:f>
        <x:v>0.06656682384148119</x:v>
      </x:c>
      <x:c r="G55" s="423" t="n">
        <x:f>'Vehicle Classes'!E11</x:f>
        <x:v>0.868</x:v>
      </x:c>
    </x:row>
    <x:row r="56">
      <x:c r="A56" s="76" t="str">
        <x:f>'Vehicle Classes'!A12</x:f>
        <x:v>Articulated 44t</x:v>
      </x:c>
      <x:c r="B56" s="422" t="n">
        <x:f>IFERROR('Vehicle Classes'!$R12/('Vehicle Classes'!$I12*('Vehicle Classes'!$D12*B$48)),"")</x:f>
        <x:v>0.13084108560623334</x:v>
      </x:c>
      <x:c r="C56" s="422" t="n">
        <x:f>IFERROR('Vehicle Classes'!$R12/('Vehicle Classes'!$I12*('Vehicle Classes'!$D12*C$48)),"")</x:f>
        <x:v>0.1006469889278718</x:v>
      </x:c>
      <x:c r="D56" s="422" t="n">
        <x:f>IFERROR('Vehicle Classes'!$R12/('Vehicle Classes'!$I12*('Vehicle Classes'!$D12*D$48)),"")</x:f>
        <x:v>0.08177567850389582</x:v>
      </x:c>
      <x:c r="E56" s="422" t="n">
        <x:f>IFERROR('Vehicle Classes'!$R12/('Vehicle Classes'!$I12*('Vehicle Classes'!$D12*E$48)),"")</x:f>
        <x:v>0.07268949200346297</x:v>
      </x:c>
      <x:c r="F56" s="422" t="n">
        <x:f>IFERROR('Vehicle Classes'!$R12/('Vehicle Classes'!$I12*('Vehicle Classes'!$D12*F$48)),"")</x:f>
        <x:v>0.06542054280311667</x:v>
      </x:c>
      <x:c r="G56" s="423" t="n">
        <x:f>'Vehicle Classes'!E12</x:f>
        <x:v>0.88</x:v>
      </x:c>
    </x:row>
    <x:row r="57">
      <x:c r="A57" s="79" t="str">
        <x:f>'Vehicle Classes'!A13</x:f>
        <x:v>EMS / high-capacity 60t</x:v>
      </x:c>
      <x:c r="B57" s="424" t="n">
        <x:f>IFERROR('Vehicle Classes'!$R13/('Vehicle Classes'!$I13*('Vehicle Classes'!$D13*B$48)),"")</x:f>
        <x:v>0.11802626344068547</x:v>
      </x:c>
      <x:c r="C57" s="424" t="n">
        <x:f>IFERROR('Vehicle Classes'!$R13/('Vehicle Classes'!$I13*('Vehicle Classes'!$D13*C$48)),"")</x:f>
        <x:v>0.09078943341591189</x:v>
      </x:c>
      <x:c r="D57" s="424" t="n">
        <x:f>IFERROR('Vehicle Classes'!$R13/('Vehicle Classes'!$I13*('Vehicle Classes'!$D13*D$48)),"")</x:f>
        <x:v>0.07376641465042841</x:v>
      </x:c>
      <x:c r="E57" s="424" t="n">
        <x:f>IFERROR('Vehicle Classes'!$R13/('Vehicle Classes'!$I13*('Vehicle Classes'!$D13*E$48)),"")</x:f>
        <x:v>0.06557014635593636</x:v>
      </x:c>
      <x:c r="F57" s="424" t="n">
        <x:f>IFERROR('Vehicle Classes'!$R13/('Vehicle Classes'!$I13*('Vehicle Classes'!$D13*F$48)),"")</x:f>
        <x:v>0.05901313172034273</x:v>
      </x:c>
      <x:c r="G57" s="425" t="n">
        <x:f>'Vehicle Classes'!E13</x:f>
        <x:v>0.9</x:v>
      </x:c>
    </x:row>
  </x:sheetData>
  <x:mergeCells>
    <x:mergeCell ref="I45:K45"/>
    <x:mergeCell ref="A32:K32"/>
    <x:mergeCell ref="A1:H1"/>
    <x:mergeCell ref="A31:K31"/>
    <x:mergeCell ref="A45:G45"/>
    <x:mergeCell ref="A46:G46"/>
  </x:mergeCells>
  <x:conditionalFormatting sqref="B6:H12">
    <x:cfRule type="colorScale" priority="1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H34:H42">
    <x:cfRule type="colorScale" priority="2">
      <x:colorScale>
        <x:cfvo type="min"/>
        <x:cfvo type="percentile" val="50"/>
        <x:cfvo type="max"/>
        <x:color rgb="00DCFCE7"/>
        <x:color rgb="00FEF3C7"/>
        <x:color rgb="00FECACA"/>
      </x:colorScale>
    </x:cfRule>
  </x:conditionalFormatting>
  <x:conditionalFormatting sqref="B49:F57">
    <x:cfRule type="colorScale" priority="3">
      <x:colorScale>
        <x:cfvo type="min"/>
        <x:cfvo type="percentile" val="50"/>
        <x:cfvo type="max"/>
        <x:color rgb="00DCFCE7"/>
        <x:color rgb="00FEF3C7"/>
        <x:color rgb="00FECACA"/>
      </x:colorScale>
    </x:cfRule>
  </x:conditionalFormatting>
  <x:dataValidations count="1">
    <x:dataValidation type="list" allowBlank="0" showDropDown="0" showInputMessage="0" showErrorMessage="0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3dc73771d5b64a8c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60" customWidth="1"/>
    <x:col min="2" max="2" width="28.799999237060547" style="60" customWidth="1"/>
    <x:col min="3" max="3" width="6.460000038146973" style="60" customWidth="1"/>
    <x:col min="4" max="4" width="15.880000114440918" style="60" customWidth="1"/>
    <x:col min="5" max="5" width="19.3799991607666" style="60" customWidth="1"/>
    <x:col min="6" max="6" width="16.149999618530273" style="60" customWidth="1"/>
    <x:col min="7" max="7" width="13.0600004196167" style="60" customWidth="1"/>
    <x:col min="8" max="8" width="10.09000015258789" style="60" customWidth="1"/>
    <x:col min="9" max="9" width="8.880000114440918" style="60" customWidth="1"/>
    <x:col min="10" max="10" width="11.039999961853027" style="60" customWidth="1"/>
    <x:col min="11" max="11" width="14.539999961853027" style="60" customWidth="1"/>
    <x:col min="12" max="12" width="10.630000114440918" style="60" customWidth="1"/>
    <x:col min="13" max="13" width="21.270000457763672" style="60" customWidth="1"/>
    <x:col min="14" max="14" width="21.530000686645508" style="60" customWidth="1"/>
    <x:col min="15" max="15" width="19.780000686645508" style="60" customWidth="1"/>
    <x:col min="16" max="16" width="21.530000686645508" style="60" customWidth="1"/>
    <x:col min="17" max="17" width="27.31999969482422" style="60" customWidth="1"/>
    <x:col min="18" max="18" width="18.84000015258789" style="60" customWidth="1"/>
    <x:col min="19" max="19" width="22.34000015258789" style="60" customWidth="1"/>
    <x:col min="20" max="20" width="21.799999237060547" style="60" customWidth="1"/>
    <x:col min="21" max="21" width="42" style="60" customWidth="1"/>
    <x:col min="22" max="22" width="45" style="60" customWidth="1"/>
    <x:col min="23" max="23" width="12.920000076293945" style="60" customWidth="1"/>
  </x:cols>
  <x:sheetData>
    <x:row r="1">
      <x:c r="A1" s="402" t="inlineStr">
        <x:is>
          <x:t xml:space="preserve">Vehicle capability assumptions for break-even sensitivity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</x:row>
    <x:row r="2" s="60" customFormat="1" ht="36" customHeight="1">
      <x:c r="A2" s="403" t="inlineStr">
        <x:is>
          <x:t xml:space="preserve">Blue numbers are editable assumptions; formula cells calculate effective payload, loaded km, annual cost and break-even price. Validate payload and legal access for actual countries/routes before using commercially.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</x:row>
    <x:row r="4">
      <x:c r="A4" s="72" t="inlineStr">
        <x:is>
          <x:t xml:space="preserve">Vehicle class</x:t>
        </x:is>
      </x:c>
      <x:c r="B4" s="72" t="inlineStr">
        <x:is>
          <x:t xml:space="preserve">Capability band</x:t>
        </x:is>
      </x:c>
      <x:c r="C4" s="72" t="inlineStr">
        <x:is>
          <x:t xml:space="preserve">GVW (t)</x:t>
        </x:is>
      </x:c>
      <x:c r="D4" s="72" t="inlineStr">
        <x:is>
          <x:t xml:space="preserve">Payload capacity (t)</x:t>
        </x:is>
      </x:c>
      <x:c r="E4" s="72" t="inlineStr">
        <x:is>
          <x:t xml:space="preserve">Base payload utilisation</x:t>
        </x:is>
      </x:c>
      <x:c r="F4" s="72" t="inlineStr">
        <x:is>
          <x:t xml:space="preserve">Effective payload (t)</x:t>
        </x:is>
      </x:c>
      <x:c r="G4" s="72" t="inlineStr">
        <x:is>
          <x:t xml:space="preserve">Annual total km</x:t>
        </x:is>
      </x:c>
      <x:c r="H4" s="72" t="inlineStr">
        <x:is>
          <x:t xml:space="preserve">Loaded ratio</x:t>
        </x:is>
      </x:c>
      <x:c r="I4" s="72" t="inlineStr">
        <x:is>
          <x:t xml:space="preserve">Loaded km</x:t>
        </x:is>
      </x:c>
      <x:c r="J4" s="72" t="inlineStr">
        <x:is>
          <x:t xml:space="preserve">Fuel L/100km</x:t>
        </x:is>
      </x:c>
      <x:c r="K4" s="72" t="inlineStr">
        <x:is>
          <x:t xml:space="preserve">Fuel price (EUR/L)</x:t>
        </x:is>
      </x:c>
      <x:c r="L4" s="72" t="inlineStr">
        <x:is>
          <x:t xml:space="preserve">Fuel EUR/km</x:t>
        </x:is>
      </x:c>
      <x:c r="M4" s="72" t="inlineStr">
        <x:is>
          <x:t xml:space="preserve">Non-fuel variable EUR/km</x:t>
        </x:is>
      </x:c>
      <x:c r="N4" s="72" t="inlineStr">
        <x:is>
          <x:t xml:space="preserve">Variable cost annual (EUR)</x:t>
        </x:is>
      </x:c>
      <x:c r="O4" s="72" t="inlineStr">
        <x:is>
          <x:t xml:space="preserve">Driver annual cost (EUR)</x:t>
        </x:is>
      </x:c>
      <x:c r="P4" s="72" t="inlineStr">
        <x:is>
          <x:t xml:space="preserve">Fixed vehicle annual (EUR)</x:t>
        </x:is>
      </x:c>
      <x:c r="Q4" s="72" t="inlineStr">
        <x:is>
          <x:t xml:space="preserve">Structural overhead annual (EUR)</x:t>
        </x:is>
      </x:c>
      <x:c r="R4" s="72" t="inlineStr">
        <x:is>
          <x:t xml:space="preserve">Total annual cost (EUR)</x:t>
        </x:is>
      </x:c>
      <x:c r="S4" s="72" t="inlineStr">
        <x:is>
          <x:t xml:space="preserve">Break-even EUR/loaded km</x:t>
        </x:is>
      </x:c>
      <x:c r="T4" s="72" t="inlineStr">
        <x:is>
          <x:t xml:space="preserve">Break-even EUR/tonne-km</x:t>
        </x:is>
      </x:c>
      <x:c r="U4" s="72" t="inlineStr">
        <x:is>
          <x:t xml:space="preserve">Availability / validation note</x:t>
        </x:is>
      </x:c>
      <x:c r="V4" s="72" t="inlineStr">
        <x:is>
          <x:t xml:space="preserve">Source URL</x:t>
        </x:is>
      </x:c>
      <x:c r="W4" s="72" t="inlineStr">
        <x:is>
          <x:t xml:space="preserve">Input/data type</x:t>
        </x:is>
      </x:c>
    </x:row>
    <x:row r="5">
      <x:c r="A5" s="91" t="inlineStr">
        <x:is>
          <x:t xml:space="preserve">Small van</x:t>
        </x:is>
      </x:c>
      <x:c r="B5" s="92" t="inlineStr">
        <x:is>
          <x:t xml:space="preserve">Urban / light delivery</x:t>
        </x:is>
      </x:c>
      <x:c r="C5" s="426" t="n">
        <x:v>3.5</x:v>
      </x:c>
      <x:c r="D5" s="426" t="n">
        <x:v>1.2</x:v>
      </x:c>
      <x:c r="E5" s="427" t="n">
        <x:v>0.75</x:v>
      </x:c>
      <x:c r="F5" s="428" t="n">
        <x:f>D5*E5</x:f>
        <x:v>0.8999999999999999</x:v>
      </x:c>
      <x:c r="G5" s="429" t="n">
        <x:v>45000</x:v>
      </x:c>
      <x:c r="H5" s="427" t="n">
        <x:v>0.7</x:v>
      </x:c>
      <x:c r="I5" s="430" t="n">
        <x:f>G5*H5</x:f>
        <x:v>31499.999999999996</x:v>
      </x:c>
      <x:c r="J5" s="426" t="n">
        <x:v>9.5</x:v>
      </x:c>
      <x:c r="K5" s="431" t="n">
        <x:f>'Inputs'!$C$11</x:f>
        <x:v>1.265524625</x:v>
      </x:c>
      <x:c r="L5" s="432" t="n">
        <x:f>J5/100*K5</x:f>
        <x:v>0.120224839375</x:v>
      </x:c>
      <x:c r="M5" s="433" t="n">
        <x:v>0.1</x:v>
      </x:c>
      <x:c r="N5" s="434" t="n">
        <x:f>(L5+M5)*G5</x:f>
        <x:v>9910.117771875</x:v>
      </x:c>
      <x:c r="O5" s="435" t="n">
        <x:v>32000</x:v>
      </x:c>
      <x:c r="P5" s="435" t="n">
        <x:v>12000</x:v>
      </x:c>
      <x:c r="Q5" s="435" t="n">
        <x:v>6000</x:v>
      </x:c>
      <x:c r="R5" s="434" t="n">
        <x:f>N5+O5+P5+Q5</x:f>
        <x:v>59910.117771875</x:v>
      </x:c>
      <x:c r="S5" s="432" t="n">
        <x:f>IFERROR(R5/I5,"")</x:f>
        <x:v>1.9019085006944445</x:v>
      </x:c>
      <x:c r="T5" s="436" t="n">
        <x:f>IFERROR(R5/(I5*F5),"")</x:f>
        <x:v>2.113231667438272</x:v>
      </x:c>
      <x:c r="U5" s="92" t="inlineStr">
        <x:is>
          <x:t xml:space="preserve">Model assumption; validate payload against actual van spec</x:t>
        </x:is>
      </x:c>
      <x:c r="V5" s="92" t="inlineStr">
        <x:is>
          <x:t xml:space="preserve">https://climate.ec.europa.eu/system/files/2017-03/hdv_lightweighting_en.pdf</x:t>
        </x:is>
      </x:c>
      <x:c r="W5" s="93" t="inlineStr">
        <x:is>
          <x:t xml:space="preserve">Editable</x:t>
        </x:is>
      </x:c>
    </x:row>
    <x:row r="6">
      <x:c r="A6" s="94" t="inlineStr">
        <x:is>
          <x:t xml:space="preserve">Large van 3.5t</x:t>
        </x:is>
      </x:c>
      <x:c r="B6" s="95" t="inlineStr">
        <x:is>
          <x:t xml:space="preserve">Van / courier</x:t>
        </x:is>
      </x:c>
      <x:c r="C6" s="437" t="n">
        <x:v>3.5</x:v>
      </x:c>
      <x:c r="D6" s="437" t="n">
        <x:v>2</x:v>
      </x:c>
      <x:c r="E6" s="438" t="n">
        <x:v>0.75</x:v>
      </x:c>
      <x:c r="F6" s="439" t="n">
        <x:f>D6*E6</x:f>
        <x:v>1.5</x:v>
      </x:c>
      <x:c r="G6" s="440" t="n">
        <x:v>65000</x:v>
      </x:c>
      <x:c r="H6" s="438" t="n">
        <x:v>0.72</x:v>
      </x:c>
      <x:c r="I6" s="441" t="n">
        <x:f>G6*H6</x:f>
        <x:v>46800</x:v>
      </x:c>
      <x:c r="J6" s="437" t="n">
        <x:v>12</x:v>
      </x:c>
      <x:c r="K6" s="442" t="n">
        <x:f>'Inputs'!$C$11</x:f>
        <x:v>1.265524625</x:v>
      </x:c>
      <x:c r="L6" s="443" t="n">
        <x:f>J6/100*K6</x:f>
        <x:v>0.151862955</x:v>
      </x:c>
      <x:c r="M6" s="444" t="n">
        <x:v>0.14</x:v>
      </x:c>
      <x:c r="N6" s="445" t="n">
        <x:f>(L6+M6)*G6</x:f>
        <x:v>18971.092075</x:v>
      </x:c>
      <x:c r="O6" s="446" t="n">
        <x:v>34000</x:v>
      </x:c>
      <x:c r="P6" s="446" t="n">
        <x:v>16000</x:v>
      </x:c>
      <x:c r="Q6" s="446" t="n">
        <x:v>7000</x:v>
      </x:c>
      <x:c r="R6" s="445" t="n">
        <x:f>N6+O6+P6+Q6</x:f>
        <x:v>75971.092075</x:v>
      </x:c>
      <x:c r="S6" s="443" t="n">
        <x:f>IFERROR(R6/I6,"")</x:f>
        <x:v>1.6233139332264956</x:v>
      </x:c>
      <x:c r="T6" s="447" t="n">
        <x:f>IFERROR(R6/(I6*F6),"")</x:f>
        <x:v>1.0822092888176638</x:v>
      </x:c>
      <x:c r="U6" s="95" t="inlineStr">
        <x:is>
          <x:t xml:space="preserve">3.5t GVW large van; payload can reach about 2t depending on body/spec</x:t>
        </x:is>
      </x:c>
      <x:c r="V6" s="95" t="inlineStr">
        <x:is>
          <x:t xml:space="preserve">https://climate.ec.europa.eu/system/files/2017-03/hdv_lightweighting_en.pdf</x:t>
        </x:is>
      </x:c>
      <x:c r="W6" s="96" t="inlineStr">
        <x:is>
          <x:t xml:space="preserve">Editable</x:t>
        </x:is>
      </x:c>
    </x:row>
    <x:row r="7">
      <x:c r="A7" s="94" t="inlineStr">
        <x:is>
          <x:t xml:space="preserve">Light truck 7.5t</x:t>
        </x:is>
      </x:c>
      <x:c r="B7" s="95" t="inlineStr">
        <x:is>
          <x:t xml:space="preserve">Small rigid</x:t>
        </x:is>
      </x:c>
      <x:c r="C7" s="437" t="n">
        <x:v>7.5</x:v>
      </x:c>
      <x:c r="D7" s="437" t="n">
        <x:v>3.5</x:v>
      </x:c>
      <x:c r="E7" s="438" t="n">
        <x:v>0.8</x:v>
      </x:c>
      <x:c r="F7" s="439" t="n">
        <x:f>D7*E7</x:f>
        <x:v>2.8000000000000003</x:v>
      </x:c>
      <x:c r="G7" s="440" t="n">
        <x:v>75000</x:v>
      </x:c>
      <x:c r="H7" s="438" t="n">
        <x:v>0.75</x:v>
      </x:c>
      <x:c r="I7" s="441" t="n">
        <x:f>G7*H7</x:f>
        <x:v>56250</x:v>
      </x:c>
      <x:c r="J7" s="437" t="n">
        <x:v>16</x:v>
      </x:c>
      <x:c r="K7" s="442" t="n">
        <x:f>'Inputs'!$C$11</x:f>
        <x:v>1.265524625</x:v>
      </x:c>
      <x:c r="L7" s="443" t="n">
        <x:f>J7/100*K7</x:f>
        <x:v>0.20248394000000003</x:v>
      </x:c>
      <x:c r="M7" s="444" t="n">
        <x:v>0.2</x:v>
      </x:c>
      <x:c r="N7" s="445" t="n">
        <x:f>(L7+M7)*G7</x:f>
        <x:v>30186.295500000004</x:v>
      </x:c>
      <x:c r="O7" s="446" t="n">
        <x:v>40000</x:v>
      </x:c>
      <x:c r="P7" s="446" t="n">
        <x:v>25000</x:v>
      </x:c>
      <x:c r="Q7" s="446" t="n">
        <x:v>10000</x:v>
      </x:c>
      <x:c r="R7" s="445" t="n">
        <x:f>N7+O7+P7+Q7</x:f>
        <x:v>105186.29550000001</x:v>
      </x:c>
      <x:c r="S7" s="443" t="n">
        <x:f>IFERROR(R7/I7,"")</x:f>
        <x:v>1.8699785866666667</x:v>
      </x:c>
      <x:c r="T7" s="447" t="n">
        <x:f>IFERROR(R7/(I7*F7),"")</x:f>
        <x:v>0.6678494952380951</x:v>
      </x:c>
      <x:c r="U7" s="95" t="inlineStr">
        <x:is>
          <x:t xml:space="preserve">Operational class assumption; validate by vehicle body and national rules</x:t>
        </x:is>
      </x:c>
      <x:c r="V7" s="95" t="str"/>
      <x:c r="W7" s="96" t="inlineStr">
        <x:is>
          <x:t xml:space="preserve">Editable</x:t>
        </x:is>
      </x:c>
    </x:row>
    <x:row r="8">
      <x:c r="A8" s="94" t="inlineStr">
        <x:is>
          <x:t xml:space="preserve">Medium rigid 12t</x:t>
        </x:is>
      </x:c>
      <x:c r="B8" s="95" t="inlineStr">
        <x:is>
          <x:t xml:space="preserve">Rigid truck</x:t>
        </x:is>
      </x:c>
      <x:c r="C8" s="437" t="n">
        <x:v>12</x:v>
      </x:c>
      <x:c r="D8" s="437" t="n">
        <x:v>6</x:v>
      </x:c>
      <x:c r="E8" s="438" t="n">
        <x:v>0.82</x:v>
      </x:c>
      <x:c r="F8" s="439" t="n">
        <x:f>D8*E8</x:f>
        <x:v>4.92</x:v>
      </x:c>
      <x:c r="G8" s="440" t="n">
        <x:v>80000</x:v>
      </x:c>
      <x:c r="H8" s="438" t="n">
        <x:v>0.78</x:v>
      </x:c>
      <x:c r="I8" s="441" t="n">
        <x:f>G8*H8</x:f>
        <x:v>62400</x:v>
      </x:c>
      <x:c r="J8" s="437" t="n">
        <x:v>22</x:v>
      </x:c>
      <x:c r="K8" s="442" t="n">
        <x:f>'Inputs'!$C$11</x:f>
        <x:v>1.265524625</x:v>
      </x:c>
      <x:c r="L8" s="443" t="n">
        <x:f>J8/100*K8</x:f>
        <x:v>0.27841541750000004</x:v>
      </x:c>
      <x:c r="M8" s="444" t="n">
        <x:v>0.27</x:v>
      </x:c>
      <x:c r="N8" s="445" t="n">
        <x:f>(L8+M8)*G8</x:f>
        <x:v>43873.2334</x:v>
      </x:c>
      <x:c r="O8" s="446" t="n">
        <x:v>43000</x:v>
      </x:c>
      <x:c r="P8" s="446" t="n">
        <x:v>38000</x:v>
      </x:c>
      <x:c r="Q8" s="446" t="n">
        <x:v>12000</x:v>
      </x:c>
      <x:c r="R8" s="445" t="n">
        <x:f>N8+O8+P8+Q8</x:f>
        <x:v>136873.2334</x:v>
      </x:c>
      <x:c r="S8" s="443" t="n">
        <x:f>IFERROR(R8/I8,"")</x:f>
        <x:v>2.1934813044871793</x:v>
      </x:c>
      <x:c r="T8" s="447" t="n">
        <x:f>IFERROR(R8/(I8*F8),"")</x:f>
        <x:v>0.44582953343235354</x:v>
      </x:c>
      <x:c r="U8" s="95" t="inlineStr">
        <x:is>
          <x:t xml:space="preserve">Operational class assumption; payload depends on body and axle setup</x:t>
        </x:is>
      </x:c>
      <x:c r="V8" s="95" t="str"/>
      <x:c r="W8" s="96" t="inlineStr">
        <x:is>
          <x:t xml:space="preserve">Editable</x:t>
        </x:is>
      </x:c>
    </x:row>
    <x:row r="9">
      <x:c r="A9" s="94" t="inlineStr">
        <x:is>
          <x:t xml:space="preserve">Rigid truck 18t</x:t>
        </x:is>
      </x:c>
      <x:c r="B9" s="95" t="inlineStr">
        <x:is>
          <x:t xml:space="preserve">Rigid truck</x:t>
        </x:is>
      </x:c>
      <x:c r="C9" s="437" t="n">
        <x:v>18</x:v>
      </x:c>
      <x:c r="D9" s="437" t="n">
        <x:v>9</x:v>
      </x:c>
      <x:c r="E9" s="438" t="n">
        <x:v>0.85</x:v>
      </x:c>
      <x:c r="F9" s="439" t="n">
        <x:f>D9*E9</x:f>
        <x:v>7.6499999999999995</x:v>
      </x:c>
      <x:c r="G9" s="440" t="n">
        <x:v>85000</x:v>
      </x:c>
      <x:c r="H9" s="438" t="n">
        <x:v>0.8</x:v>
      </x:c>
      <x:c r="I9" s="441" t="n">
        <x:f>G9*H9</x:f>
        <x:v>68000</x:v>
      </x:c>
      <x:c r="J9" s="437" t="n">
        <x:v>27</x:v>
      </x:c>
      <x:c r="K9" s="442" t="n">
        <x:f>'Inputs'!$C$11</x:f>
        <x:v>1.265524625</x:v>
      </x:c>
      <x:c r="L9" s="443" t="n">
        <x:f>J9/100*K9</x:f>
        <x:v>0.34169164875</x:v>
      </x:c>
      <x:c r="M9" s="444" t="n">
        <x:v>0.33</x:v>
      </x:c>
      <x:c r="N9" s="445" t="n">
        <x:f>(L9+M9)*G9</x:f>
        <x:v>57093.79014375</x:v>
      </x:c>
      <x:c r="O9" s="446" t="n">
        <x:v>46000</x:v>
      </x:c>
      <x:c r="P9" s="446" t="n">
        <x:v>52000</x:v>
      </x:c>
      <x:c r="Q9" s="446" t="n">
        <x:v>14000</x:v>
      </x:c>
      <x:c r="R9" s="445" t="n">
        <x:f>N9+O9+P9+Q9</x:f>
        <x:v>169093.79014375</x:v>
      </x:c>
      <x:c r="S9" s="443" t="n">
        <x:f>IFERROR(R9/I9,"")</x:f>
        <x:v>2.4866733844669118</x:v>
      </x:c>
      <x:c r="T9" s="447" t="n">
        <x:f>IFERROR(R9/(I9*F9),"")</x:f>
        <x:v>0.32505534437475975</x:v>
      </x:c>
      <x:c r="U9" s="95" t="inlineStr">
        <x:is>
          <x:t xml:space="preserve">Operational class assumption; common distribution/retail class</x:t>
        </x:is>
      </x:c>
      <x:c r="V9" s="95" t="str"/>
      <x:c r="W9" s="96" t="inlineStr">
        <x:is>
          <x:t xml:space="preserve">Editable</x:t>
        </x:is>
      </x:c>
    </x:row>
    <x:row r="10">
      <x:c r="A10" s="94" t="inlineStr">
        <x:is>
          <x:t xml:space="preserve">Rigid truck 26t</x:t>
        </x:is>
      </x:c>
      <x:c r="B10" s="95" t="inlineStr">
        <x:is>
          <x:t xml:space="preserve">Heavy rigid</x:t>
        </x:is>
      </x:c>
      <x:c r="C10" s="437" t="n">
        <x:v>26</x:v>
      </x:c>
      <x:c r="D10" s="437" t="n">
        <x:v>14</x:v>
      </x:c>
      <x:c r="E10" s="438" t="n">
        <x:v>0.85</x:v>
      </x:c>
      <x:c r="F10" s="439" t="n">
        <x:f>D10*E10</x:f>
        <x:v>11.9</x:v>
      </x:c>
      <x:c r="G10" s="440" t="n">
        <x:v>90000</x:v>
      </x:c>
      <x:c r="H10" s="438" t="n">
        <x:v>0.82</x:v>
      </x:c>
      <x:c r="I10" s="441" t="n">
        <x:f>G10*H10</x:f>
        <x:v>73800</x:v>
      </x:c>
      <x:c r="J10" s="437" t="n">
        <x:v>31</x:v>
      </x:c>
      <x:c r="K10" s="442" t="n">
        <x:f>'Inputs'!$C$11</x:f>
        <x:v>1.265524625</x:v>
      </x:c>
      <x:c r="L10" s="443" t="n">
        <x:f>J10/100*K10</x:f>
        <x:v>0.39231263375000003</x:v>
      </x:c>
      <x:c r="M10" s="444" t="n">
        <x:v>0.4</x:v>
      </x:c>
      <x:c r="N10" s="445" t="n">
        <x:f>(L10+M10)*G10</x:f>
        <x:v>71308.13703750001</x:v>
      </x:c>
      <x:c r="O10" s="446" t="n">
        <x:v>48000</x:v>
      </x:c>
      <x:c r="P10" s="446" t="n">
        <x:v>68000</x:v>
      </x:c>
      <x:c r="Q10" s="446" t="n">
        <x:v>16000</x:v>
      </x:c>
      <x:c r="R10" s="445" t="n">
        <x:f>N10+O10+P10+Q10</x:f>
        <x:v>203308.1370375</x:v>
      </x:c>
      <x:c r="S10" s="443" t="n">
        <x:f>IFERROR(R10/I10,"")</x:f>
        <x:v>2.754852805386179</x:v>
      </x:c>
      <x:c r="T10" s="447" t="n">
        <x:f>IFERROR(R10/(I10*F10),"")</x:f>
        <x:v>0.23150023574673773</x:v>
      </x:c>
      <x:c r="U10" s="95" t="inlineStr">
        <x:is>
          <x:t xml:space="preserve">Operational class assumption; common 3-axle heavy rigid class</x:t>
        </x:is>
      </x:c>
      <x:c r="V10" s="95" t="str"/>
      <x:c r="W10" s="96" t="inlineStr">
        <x:is>
          <x:t xml:space="preserve">Editable</x:t>
        </x:is>
      </x:c>
    </x:row>
    <x:row r="11">
      <x:c r="A11" s="94" t="inlineStr">
        <x:is>
          <x:t xml:space="preserve">Articulated 40t</x:t>
        </x:is>
      </x:c>
      <x:c r="B11" s="95" t="inlineStr">
        <x:is>
          <x:t xml:space="preserve">Standard heavy artic</x:t>
        </x:is>
      </x:c>
      <x:c r="C11" s="437" t="n">
        <x:v>40</x:v>
      </x:c>
      <x:c r="D11" s="437" t="n">
        <x:v>24</x:v>
      </x:c>
      <x:c r="E11" s="438" t="n">
        <x:v>0.868</x:v>
      </x:c>
      <x:c r="F11" s="439" t="n">
        <x:f>D11*E11</x:f>
        <x:v>20.832</x:v>
      </x:c>
      <x:c r="G11" s="440" t="n">
        <x:v>113100</x:v>
      </x:c>
      <x:c r="H11" s="438" t="n">
        <x:v>0.853</x:v>
      </x:c>
      <x:c r="I11" s="441" t="n">
        <x:f>G11*H11</x:f>
        <x:v>96474.3</x:v>
      </x:c>
      <x:c r="J11" s="437" t="n">
        <x:v>34.2</x:v>
      </x:c>
      <x:c r="K11" s="442" t="n">
        <x:f>'Inputs'!$C$11</x:f>
        <x:v>1.265524625</x:v>
      </x:c>
      <x:c r="L11" s="443" t="n">
        <x:f>J11/100*K11</x:f>
        <x:v>0.43280942175000003</x:v>
      </x:c>
      <x:c r="M11" s="444" t="n">
        <x:v>0.1716</x:v>
      </x:c>
      <x:c r="N11" s="445" t="n">
        <x:f>(L11+M11)*G11</x:f>
        <x:v>68358.705599925</x:v>
      </x:c>
      <x:c r="O11" s="446" t="n">
        <x:v>49674</x:v>
      </x:c>
      <x:c r="P11" s="446" t="n">
        <x:v>36095</x:v>
      </x:c>
      <x:c r="Q11" s="446" t="n">
        <x:v>0</x:v>
      </x:c>
      <x:c r="R11" s="445" t="n">
        <x:f>N11+O11+P11+Q11</x:f>
        <x:v>154127.70559992502</x:v>
      </x:c>
      <x:c r="S11" s="443" t="n">
        <x:f>IFERROR(R11/I11,"")</x:f>
        <x:v>1.5976037721955485</x:v>
      </x:c>
      <x:c r="T11" s="447" t="n">
        <x:f>IFERROR(R11/(I11*F11),"")</x:f>
        <x:v>0.0766898892182963</x:v>
      </x:c>
      <x:c r="U11" s="95" t="inlineStr">
        <x:is>
          <x:t xml:space="preserve">Standard EU heavy-goods reference class; original model anchor</x:t>
        </x:is>
      </x:c>
      <x:c r="V11" s="95" t="inlineStr">
        <x:is>
          <x:t xml:space="preserve">https://ec.europa.eu/commission/presscorner/detail/en/MEMO_13_329</x:t>
        </x:is>
      </x:c>
      <x:c r="W11" s="96" t="inlineStr">
        <x:is>
          <x:t xml:space="preserve">Editable</x:t>
        </x:is>
      </x:c>
    </x:row>
    <x:row r="12">
      <x:c r="A12" s="94" t="inlineStr">
        <x:is>
          <x:t xml:space="preserve">Articulated 44t</x:t>
        </x:is>
      </x:c>
      <x:c r="B12" s="95" t="inlineStr">
        <x:is>
          <x:t xml:space="preserve">Intermodal / heavier permitted artic</x:t>
        </x:is>
      </x:c>
      <x:c r="C12" s="437" t="n">
        <x:v>44</x:v>
      </x:c>
      <x:c r="D12" s="437" t="n">
        <x:v>28</x:v>
      </x:c>
      <x:c r="E12" s="438" t="n">
        <x:v>0.88</x:v>
      </x:c>
      <x:c r="F12" s="439" t="n">
        <x:f>D12*E12</x:f>
        <x:v>24.64</x:v>
      </x:c>
      <x:c r="G12" s="440" t="n">
        <x:v>113100</x:v>
      </x:c>
      <x:c r="H12" s="438" t="n">
        <x:v>0.86</x:v>
      </x:c>
      <x:c r="I12" s="441" t="n">
        <x:f>G12*H12</x:f>
        <x:v>97266</x:v>
      </x:c>
      <x:c r="J12" s="437" t="n">
        <x:v>35.5</x:v>
      </x:c>
      <x:c r="K12" s="442" t="n">
        <x:f>'Inputs'!$C$11</x:f>
        <x:v>1.265524625</x:v>
      </x:c>
      <x:c r="L12" s="443" t="n">
        <x:f>J12/100*K12</x:f>
        <x:v>0.449261241875</x:v>
      </x:c>
      <x:c r="M12" s="444" t="n">
        <x:v>0.18</x:v>
      </x:c>
      <x:c r="N12" s="445" t="n">
        <x:f>(L12+M12)*G12</x:f>
        <x:v>71169.4464560625</x:v>
      </x:c>
      <x:c r="O12" s="446" t="n">
        <x:v>50000</x:v>
      </x:c>
      <x:c r="P12" s="446" t="n">
        <x:v>39000</x:v>
      </x:c>
      <x:c r="Q12" s="446" t="n">
        <x:v>18000</x:v>
      </x:c>
      <x:c r="R12" s="445" t="n">
        <x:f>N12+O12+P12+Q12</x:f>
        <x:v>178169.4464560625</x:v>
      </x:c>
      <x:c r="S12" s="443" t="n">
        <x:f>IFERROR(R12/I12,"")</x:f>
        <x:v>1.8317751984872668</x:v>
      </x:c>
      <x:c r="T12" s="447" t="n">
        <x:f>IFERROR(R12/(I12*F12),"")</x:f>
        <x:v>0.07434152591263257</x:v>
      </x:c>
      <x:c r="U12" s="95" t="inlineStr">
        <x:is>
          <x:t xml:space="preserve">44t only where rules allow, especially combined/intermodal transport</x:t>
        </x:is>
      </x:c>
      <x:c r="V12" s="95" t="inlineStr">
        <x:is>
          <x:t xml:space="preserve">https://ec.europa.eu/commission/presscorner/detail/en/MEMO_13_329</x:t>
        </x:is>
      </x:c>
      <x:c r="W12" s="96" t="inlineStr">
        <x:is>
          <x:t xml:space="preserve">Editable</x:t>
        </x:is>
      </x:c>
    </x:row>
    <x:row r="13">
      <x:c r="A13" s="97" t="inlineStr">
        <x:is>
          <x:t xml:space="preserve">EMS / high-capacity 60t</x:t>
        </x:is>
      </x:c>
      <x:c r="B13" s="98" t="inlineStr">
        <x:is>
          <x:t xml:space="preserve">Country/permit dependent EMS</x:t>
        </x:is>
      </x:c>
      <x:c r="C13" s="448" t="n">
        <x:v>60</x:v>
      </x:c>
      <x:c r="D13" s="448" t="n">
        <x:v>38</x:v>
      </x:c>
      <x:c r="E13" s="449" t="n">
        <x:v>0.9</x:v>
      </x:c>
      <x:c r="F13" s="450" t="n">
        <x:f>D13*E13</x:f>
        <x:v>34.2</x:v>
      </x:c>
      <x:c r="G13" s="451" t="n">
        <x:v>115000</x:v>
      </x:c>
      <x:c r="H13" s="449" t="n">
        <x:v>0.88</x:v>
      </x:c>
      <x:c r="I13" s="452" t="n">
        <x:f>G13*H13</x:f>
        <x:v>101200</x:v>
      </x:c>
      <x:c r="J13" s="448" t="n">
        <x:v>45</x:v>
      </x:c>
      <x:c r="K13" s="453" t="n">
        <x:f>'Inputs'!$C$11</x:f>
        <x:v>1.265524625</x:v>
      </x:c>
      <x:c r="L13" s="454" t="n">
        <x:f>J13/100*K13</x:f>
        <x:v>0.56948608125</x:v>
      </x:c>
      <x:c r="M13" s="455" t="n">
        <x:v>0.23</x:v>
      </x:c>
      <x:c r="N13" s="456" t="n">
        <x:f>(L13+M13)*G13</x:f>
        <x:v>91940.89934375</x:v>
      </x:c>
      <x:c r="O13" s="457" t="n">
        <x:v>53000</x:v>
      </x:c>
      <x:c r="P13" s="457" t="n">
        <x:v>60000</x:v>
      </x:c>
      <x:c r="Q13" s="457" t="n">
        <x:v>22000</x:v>
      </x:c>
      <x:c r="R13" s="456" t="n">
        <x:f>N13+O13+P13+Q13</x:f>
        <x:v>226940.89934375</x:v>
      </x:c>
      <x:c r="S13" s="454" t="n">
        <x:f>IFERROR(R13/I13,"")</x:f>
        <x:v>2.242499005373024</x:v>
      </x:c>
      <x:c r="T13" s="458" t="n">
        <x:f>IFERROR(R13/(I13*F13),"")</x:f>
        <x:v>0.06557014635593636</x:v>
      </x:c>
      <x:c r="U13" s="98" t="inlineStr">
        <x:is>
          <x:t xml:space="preserve">Not universal EU-wide; EMS/high-capacity combinations are country/route dependent</x:t>
        </x:is>
      </x:c>
      <x:c r="V13" s="98" t="inlineStr">
        <x:is>
          <x:t xml:space="preserve">https://transport.ec.europa.eu/document/download/45e1073e-373a-4156-966b-0523915dec9f_en?filename=SWD_2023_70_implementation_report_amendments_dir_96_53.pdf</x:t>
        </x:is>
      </x:c>
      <x:c r="W13" s="99" t="inlineStr">
        <x:is>
          <x:t xml:space="preserve">Editable</x:t>
        </x:is>
      </x:c>
    </x:row>
    <x:row r="15" s="60" customFormat="1" ht="30" customHeight="1">
      <x:c r="A15" s="459" t="inlineStr">
        <x:is>
          <x:t xml:space="preserve">Note: cost values by truck class are modelling placeholders to make the sensitivity engine work. Replace with actual lease/depreciation, insurance, fuel, toll and driver cost data for commercial decisions.</x:t>
        </x:is>
      </x:c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  <x:c r="R15" s="1" t="n"/>
      <x:c r="S15" s="1" t="n"/>
      <x:c r="T15" s="1" t="n"/>
      <x:c r="U15" s="1" t="n"/>
      <x:c r="V15" s="1" t="n"/>
      <x:c r="W15" s="1" t="n"/>
    </x:row>
  </x:sheetData>
  <x:mergeCells>
    <x:mergeCell ref="A2:W2"/>
    <x:mergeCell ref="A1:W1"/>
    <x:mergeCell ref="A15:W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style="60" customWidth="1"/>
    <x:col min="2" max="2" width="18" style="60" customWidth="1"/>
    <x:col min="3" max="3" width="18" style="60" customWidth="1"/>
    <x:col min="4" max="4" width="18" style="60" customWidth="1"/>
    <x:col min="5" max="5" width="16" style="60" customWidth="1"/>
    <x:col min="6" max="6" width="18" style="60" customWidth="1"/>
    <x:col min="7" max="7" width="18" style="60" customWidth="1"/>
    <x:col min="8" max="8" width="18" style="60" customWidth="1"/>
    <x:col min="9" max="9" width="16" style="60" customWidth="1"/>
    <x:col min="11" max="11" width="16" style="60" customWidth="1"/>
    <x:col min="12" max="12" width="16" style="60" customWidth="1"/>
    <x:col min="13" max="13" width="16" style="60" customWidth="1"/>
  </x:cols>
  <x:sheetData>
    <x:row r="1" s="60" customFormat="1" ht="26" customHeight="1">
      <x:c r="A1" s="460" t="inlineStr">
        <x:is>
          <x:t xml:space="preserve">Customer pricing layer after break-even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>
      <x:c r="A3" s="190" t="inlineStr">
        <x:is>
          <x:t xml:space="preserve">Markup over break-even</x:t>
        </x:is>
      </x:c>
      <x:c r="B3" s="190" t="inlineStr">
        <x:is>
          <x:t xml:space="preserve">LD rate €/loaded km</x:t>
        </x:is>
      </x:c>
      <x:c r="C3" s="190" t="inlineStr">
        <x:is>
          <x:t xml:space="preserve">LD annual revenue</x:t>
        </x:is>
      </x:c>
      <x:c r="D3" s="190" t="inlineStr">
        <x:is>
          <x:t xml:space="preserve">LD EBIT</x:t>
        </x:is>
      </x:c>
      <x:c r="E3" s="190" t="inlineStr">
        <x:is>
          <x:t xml:space="preserve">LD EBIT margin</x:t>
        </x:is>
      </x:c>
      <x:c r="F3" s="190" t="inlineStr">
        <x:is>
          <x:t xml:space="preserve">Regional rate €/loaded km</x:t>
        </x:is>
      </x:c>
      <x:c r="G3" s="190" t="inlineStr">
        <x:is>
          <x:t xml:space="preserve">Regional annual revenue</x:t>
        </x:is>
      </x:c>
      <x:c r="H3" s="190" t="inlineStr">
        <x:is>
          <x:t xml:space="preserve">Regional EBIT</x:t>
        </x:is>
      </x:c>
      <x:c r="I3" s="190" t="inlineStr">
        <x:is>
          <x:t xml:space="preserve">Regional EBIT margin</x:t>
        </x:is>
      </x:c>
      <x:c r="K3" s="214" t="inlineStr">
        <x:is>
          <x:t xml:space="preserve">Markup</x:t>
        </x:is>
      </x:c>
      <x:c r="L3" s="214" t="inlineStr">
        <x:is>
          <x:t xml:space="preserve">LD final rate</x:t>
        </x:is>
      </x:c>
      <x:c r="M3" s="214" t="inlineStr">
        <x:is>
          <x:t xml:space="preserve">Regional final rate</x:t>
        </x:is>
      </x:c>
    </x:row>
    <x:row r="4">
      <x:c r="A4" s="461" t="n">
        <x:v>0</x:v>
      </x:c>
      <x:c r="B4" s="462" t="n">
        <x:f>Engine!$C$62*(1+$A4)</x:f>
        <x:v>1.480895320821452</x:v>
      </x:c>
      <x:c r="C4" s="400" t="n">
        <x:f>B4*Engine!$C$31</x:f>
        <x:v>142868.33944952502</x:v>
      </x:c>
      <x:c r="D4" s="400" t="n">
        <x:f>C4-Engine!$C$60</x:f>
        <x:v>0</x:v>
      </x:c>
      <x:c r="E4" s="461" t="n">
        <x:f>IFERROR(D4/C4,0)</x:f>
        <x:v>0</x:v>
      </x:c>
      <x:c r="F4" s="462" t="n">
        <x:f>Engine!$D$62*(1+$A4)</x:f>
        <x:v>1.6075162029534795</x:v>
      </x:c>
      <x:c r="G4" s="400" t="n">
        <x:f>F4*Engine!$D$31</x:f>
        <x:v>126816.953251</x:v>
      </x:c>
      <x:c r="H4" s="400" t="n">
        <x:f>G4-Engine!$D$60</x:f>
        <x:v>0</x:v>
      </x:c>
      <x:c r="I4" s="461" t="n">
        <x:f>IFERROR(H4/G4,0)</x:f>
        <x:v>0</x:v>
      </x:c>
      <x:c r="K4" s="461" t="n">
        <x:f>A4</x:f>
        <x:v>0</x:v>
      </x:c>
      <x:c r="L4" s="462" t="n">
        <x:f>B4</x:f>
        <x:v>1.480895320821452</x:v>
      </x:c>
      <x:c r="M4" s="462" t="n">
        <x:f>F4</x:f>
        <x:v>1.6075162029534795</x:v>
      </x:c>
    </x:row>
    <x:row r="5">
      <x:c r="A5" s="461" t="n">
        <x:v>0.05</x:v>
      </x:c>
      <x:c r="B5" s="462" t="n">
        <x:f>Engine!$C$62*(1+$A5)</x:f>
        <x:v>1.5549400868625245</x:v>
      </x:c>
      <x:c r="C5" s="400" t="n">
        <x:f>B5*Engine!$C$31</x:f>
        <x:v>150011.7564220013</x:v>
      </x:c>
      <x:c r="D5" s="400" t="n">
        <x:f>C5-Engine!$C$60</x:f>
        <x:v>7143.416972476261</x:v>
      </x:c>
      <x:c r="E5" s="461" t="n">
        <x:f>IFERROR(D5/C5,0)</x:f>
        <x:v>0.047619047619047686</x:v>
      </x:c>
      <x:c r="F5" s="462" t="n">
        <x:f>Engine!$D$62*(1+$A5)</x:f>
        <x:v>1.6878920131011537</x:v>
      </x:c>
      <x:c r="G5" s="400" t="n">
        <x:f>F5*Engine!$D$31</x:f>
        <x:v>133157.80091355002</x:v>
      </x:c>
      <x:c r="H5" s="400" t="n">
        <x:f>G5-Engine!$D$60</x:f>
        <x:v>6340.847662550019</x:v>
      </x:c>
      <x:c r="I5" s="461" t="n">
        <x:f>IFERROR(H5/G5,0)</x:f>
        <x:v>0.047619047619047755</x:v>
      </x:c>
      <x:c r="K5" s="461" t="n">
        <x:f>A5</x:f>
        <x:v>0.05</x:v>
      </x:c>
      <x:c r="L5" s="462" t="n">
        <x:f>B5</x:f>
        <x:v>1.5549400868625245</x:v>
      </x:c>
      <x:c r="M5" s="462" t="n">
        <x:f>F5</x:f>
        <x:v>1.6878920131011537</x:v>
      </x:c>
    </x:row>
    <x:row r="6">
      <x:c r="A6" s="461" t="n">
        <x:v>0.1</x:v>
      </x:c>
      <x:c r="B6" s="462" t="n">
        <x:f>Engine!$C$62*(1+$A6)</x:f>
        <x:v>1.6289848529035973</x:v>
      </x:c>
      <x:c r="C6" s="400" t="n">
        <x:f>B6*Engine!$C$31</x:f>
        <x:v>157155.17339447755</x:v>
      </x:c>
      <x:c r="D6" s="400" t="n">
        <x:f>C6-Engine!$C$60</x:f>
        <x:v>14286.833944952523</x:v>
      </x:c>
      <x:c r="E6" s="461" t="n">
        <x:f>IFERROR(D6/C6,0)</x:f>
        <x:v>0.09090909090909102</x:v>
      </x:c>
      <x:c r="F6" s="462" t="n">
        <x:f>Engine!$D$62*(1+$A6)</x:f>
        <x:v>1.7682678232488276</x:v>
      </x:c>
      <x:c r="G6" s="400" t="n">
        <x:f>F6*Engine!$D$31</x:f>
        <x:v>139498.6485761</x:v>
      </x:c>
      <x:c r="H6" s="400" t="n">
        <x:f>G6-Engine!$D$60</x:f>
        <x:v>12681.695325100009</x:v>
      </x:c>
      <x:c r="I6" s="461" t="n">
        <x:f>IFERROR(H6/G6,0)</x:f>
        <x:v>0.09090909090909097</x:v>
      </x:c>
      <x:c r="K6" s="461" t="n">
        <x:f>A6</x:f>
        <x:v>0.1</x:v>
      </x:c>
      <x:c r="L6" s="462" t="n">
        <x:f>B6</x:f>
        <x:v>1.6289848529035973</x:v>
      </x:c>
      <x:c r="M6" s="462" t="n">
        <x:f>F6</x:f>
        <x:v>1.7682678232488276</x:v>
      </x:c>
    </x:row>
    <x:row r="7">
      <x:c r="A7" s="461" t="n">
        <x:v>0.125</x:v>
      </x:c>
      <x:c r="B7" s="462" t="n">
        <x:f>Engine!$C$62*(1+$A7)</x:f>
        <x:v>1.6660072359241334</x:v>
      </x:c>
      <x:c r="C7" s="400" t="n">
        <x:f>B7*Engine!$C$31</x:f>
        <x:v>160726.88188071563</x:v>
      </x:c>
      <x:c r="D7" s="400" t="n">
        <x:f>C7-Engine!$C$60</x:f>
        <x:v>17858.54243119061</x:v>
      </x:c>
      <x:c r="E7" s="461" t="n">
        <x:f>IFERROR(D7/C7,0)</x:f>
        <x:v>0.11111111111111101</x:v>
      </x:c>
      <x:c r="F7" s="462" t="n">
        <x:f>Engine!$D$62*(1+$A7)</x:f>
        <x:v>1.8084557283226645</x:v>
      </x:c>
      <x:c r="G7" s="400" t="n">
        <x:f>F7*Engine!$D$31</x:f>
        <x:v>142669.072407375</x:v>
      </x:c>
      <x:c r="H7" s="400" t="n">
        <x:f>G7-Engine!$D$60</x:f>
        <x:v>15852.119156375004</x:v>
      </x:c>
      <x:c r="I7" s="461" t="n">
        <x:f>IFERROR(H7/G7,0)</x:f>
        <x:v>0.11111111111111113</x:v>
      </x:c>
      <x:c r="K7" s="461" t="n">
        <x:f>A7</x:f>
        <x:v>0.125</x:v>
      </x:c>
      <x:c r="L7" s="462" t="n">
        <x:f>B7</x:f>
        <x:v>1.6660072359241334</x:v>
      </x:c>
      <x:c r="M7" s="462" t="n">
        <x:f>F7</x:f>
        <x:v>1.8084557283226645</x:v>
      </x:c>
    </x:row>
    <x:row r="8">
      <x:c r="A8" s="461" t="n">
        <x:v>0.15</x:v>
      </x:c>
      <x:c r="B8" s="462" t="n">
        <x:f>Engine!$C$62*(1+$A8)</x:f>
        <x:v>1.7030296189446696</x:v>
      </x:c>
      <x:c r="C8" s="400" t="n">
        <x:f>B8*Engine!$C$31</x:f>
        <x:v>164298.59036695378</x:v>
      </x:c>
      <x:c r="D8" s="400" t="n">
        <x:f>C8-Engine!$C$60</x:f>
        <x:v>21430.250917428755</x:v>
      </x:c>
      <x:c r="E8" s="461" t="n">
        <x:f>IFERROR(D8/C8,0)</x:f>
        <x:v>0.13043478260869565</x:v>
      </x:c>
      <x:c r="F8" s="462" t="n">
        <x:f>Engine!$D$62*(1+$A8)</x:f>
        <x:v>1.8486436333965013</x:v>
      </x:c>
      <x:c r="G8" s="400" t="n">
        <x:f>F8*Engine!$D$31</x:f>
        <x:v>145839.49623865</x:v>
      </x:c>
      <x:c r="H8" s="400" t="n">
        <x:f>G8-Engine!$D$60</x:f>
        <x:v>19022.54298765</x:v>
      </x:c>
      <x:c r="I8" s="461" t="n">
        <x:f>IFERROR(H8/G8,0)</x:f>
        <x:v>0.13043478260869565</x:v>
      </x:c>
      <x:c r="K8" s="461" t="n">
        <x:f>A8</x:f>
        <x:v>0.15</x:v>
      </x:c>
      <x:c r="L8" s="462" t="n">
        <x:f>B8</x:f>
        <x:v>1.7030296189446696</x:v>
      </x:c>
      <x:c r="M8" s="462" t="n">
        <x:f>F8</x:f>
        <x:v>1.8486436333965013</x:v>
      </x:c>
    </x:row>
    <x:row r="9">
      <x:c r="A9" s="461" t="n">
        <x:v>0.2</x:v>
      </x:c>
      <x:c r="B9" s="462" t="n">
        <x:f>Engine!$C$62*(1+$A9)</x:f>
        <x:v>1.7770743849857422</x:v>
      </x:c>
      <x:c r="C9" s="400" t="n">
        <x:f>B9*Engine!$C$31</x:f>
        <x:v>171442.00733943</x:v>
      </x:c>
      <x:c r="D9" s="400" t="n">
        <x:f>C9-Engine!$C$60</x:f>
        <x:v>28573.667889904988</x:v>
      </x:c>
      <x:c r="E9" s="461" t="n">
        <x:f>IFERROR(D9/C9,0)</x:f>
        <x:v>0.16666666666666657</x:v>
      </x:c>
      <x:c r="F9" s="462" t="n">
        <x:f>Engine!$D$62*(1+$A9)</x:f>
        <x:v>1.9290194435441754</x:v>
      </x:c>
      <x:c r="G9" s="400" t="n">
        <x:f>F9*Engine!$D$31</x:f>
        <x:v>152180.3439012</x:v>
      </x:c>
      <x:c r="H9" s="400" t="n">
        <x:f>G9-Engine!$D$60</x:f>
        <x:v>25363.390650199988</x:v>
      </x:c>
      <x:c r="I9" s="461" t="n">
        <x:f>IFERROR(H9/G9,0)</x:f>
        <x:v>0.1666666666666666</x:v>
      </x:c>
      <x:c r="K9" s="461" t="n">
        <x:f>A9</x:f>
        <x:v>0.2</x:v>
      </x:c>
      <x:c r="L9" s="462" t="n">
        <x:f>B9</x:f>
        <x:v>1.7770743849857422</x:v>
      </x:c>
      <x:c r="M9" s="462" t="n">
        <x:f>F9</x:f>
        <x:v>1.9290194435441754</x:v>
      </x:c>
    </x:row>
    <x:row r="10">
      <x:c r="A10" s="461" t="n">
        <x:v>0.25</x:v>
      </x:c>
      <x:c r="B10" s="462" t="n">
        <x:f>Engine!$C$62*(1+$A10)</x:f>
        <x:v>1.8511191510268148</x:v>
      </x:c>
      <x:c r="C10" s="400" t="n">
        <x:f>B10*Engine!$C$31</x:f>
        <x:v>178585.42431190627</x:v>
      </x:c>
      <x:c r="D10" s="400" t="n">
        <x:f>C10-Engine!$C$60</x:f>
        <x:v>35717.08486238125</x:v>
      </x:c>
      <x:c r="E10" s="461" t="n">
        <x:f>IFERROR(D10/C10,0)</x:f>
        <x:v>0.19999999999999996</x:v>
      </x:c>
      <x:c r="F10" s="462" t="n">
        <x:f>Engine!$D$62*(1+$A10)</x:f>
        <x:v>2.0093952536918493</x:v>
      </x:c>
      <x:c r="G10" s="400" t="n">
        <x:f>F10*Engine!$D$31</x:f>
        <x:v>158521.19156375</x:v>
      </x:c>
      <x:c r="H10" s="400" t="n">
        <x:f>G10-Engine!$D$60</x:f>
        <x:v>31704.238312750007</x:v>
      </x:c>
      <x:c r="I10" s="461" t="n">
        <x:f>IFERROR(H10/G10,0)</x:f>
        <x:v>0.20000000000000004</x:v>
      </x:c>
      <x:c r="K10" s="461" t="n">
        <x:f>A10</x:f>
        <x:v>0.25</x:v>
      </x:c>
      <x:c r="L10" s="462" t="n">
        <x:f>B10</x:f>
        <x:v>1.8511191510268148</x:v>
      </x:c>
      <x:c r="M10" s="462" t="n">
        <x:f>F10</x:f>
        <x:v>2.0093952536918493</x:v>
      </x:c>
    </x:row>
    <x:row r="11">
      <x:c r="A11" s="461" t="n">
        <x:v>0.3</x:v>
      </x:c>
      <x:c r="B11" s="462" t="n">
        <x:f>Engine!$C$62*(1+$A11)</x:f>
        <x:v>1.9251639170678876</x:v>
      </x:c>
      <x:c r="C11" s="400" t="n">
        <x:f>B11*Engine!$C$31</x:f>
        <x:v>185728.84128438254</x:v>
      </x:c>
      <x:c r="D11" s="400" t="n">
        <x:f>C11-Engine!$C$60</x:f>
        <x:v>42860.50183485751</x:v>
      </x:c>
      <x:c r="E11" s="461" t="n">
        <x:f>IFERROR(D11/C11,0)</x:f>
        <x:v>0.23076923076923078</x:v>
      </x:c>
      <x:c r="F11" s="462" t="n">
        <x:f>Engine!$D$62*(1+$A11)</x:f>
        <x:v>2.0897710638395233</x:v>
      </x:c>
      <x:c r="G11" s="400" t="n">
        <x:f>F11*Engine!$D$31</x:f>
        <x:v>164862.0392263</x:v>
      </x:c>
      <x:c r="H11" s="400" t="n">
        <x:f>G11-Engine!$D$60</x:f>
        <x:v>38045.0859753</x:v>
      </x:c>
      <x:c r="I11" s="461" t="n">
        <x:f>IFERROR(H11/G11,0)</x:f>
        <x:v>0.23076923076923075</x:v>
      </x:c>
      <x:c r="K11" s="461" t="n">
        <x:f>A11</x:f>
        <x:v>0.3</x:v>
      </x:c>
      <x:c r="L11" s="462" t="n">
        <x:f>B11</x:f>
        <x:v>1.9251639170678876</x:v>
      </x:c>
      <x:c r="M11" s="462" t="n">
        <x:f>F11</x:f>
        <x:v>2.0897710638395233</x:v>
      </x:c>
    </x:row>
    <x:row r="12">
      <x:c r="A12" s="461" t="n">
        <x:v>0.35</x:v>
      </x:c>
      <x:c r="B12" s="462" t="n">
        <x:f>Engine!$C$62*(1+$A12)</x:f>
        <x:v>1.9992086831089602</x:v>
      </x:c>
      <x:c r="C12" s="400" t="n">
        <x:f>B12*Engine!$C$31</x:f>
        <x:v>192872.2582568588</x:v>
      </x:c>
      <x:c r="D12" s="400" t="n">
        <x:f>C12-Engine!$C$60</x:f>
        <x:v>50003.91880733377</x:v>
      </x:c>
      <x:c r="E12" s="461" t="n">
        <x:f>IFERROR(D12/C12,0)</x:f>
        <x:v>0.2592592592592593</x:v>
      </x:c>
      <x:c r="F12" s="462" t="n">
        <x:f>Engine!$D$62*(1+$A12)</x:f>
        <x:v>2.1701468739871976</x:v>
      </x:c>
      <x:c r="G12" s="400" t="n">
        <x:f>F12*Engine!$D$31</x:f>
        <x:v>171202.88688885001</x:v>
      </x:c>
      <x:c r="H12" s="400" t="n">
        <x:f>G12-Engine!$D$60</x:f>
        <x:v>44385.933637850016</x:v>
      </x:c>
      <x:c r="I12" s="461" t="n">
        <x:f>IFERROR(H12/G12,0)</x:f>
        <x:v>0.25925925925925936</x:v>
      </x:c>
      <x:c r="K12" s="461" t="n">
        <x:f>A12</x:f>
        <x:v>0.35</x:v>
      </x:c>
      <x:c r="L12" s="462" t="n">
        <x:f>B12</x:f>
        <x:v>1.9992086831089602</x:v>
      </x:c>
      <x:c r="M12" s="462" t="n">
        <x:f>F12</x:f>
        <x:v>2.1701468739871976</x:v>
      </x:c>
    </x:row>
    <x:row r="13">
      <x:c r="A13" s="461" t="n">
        <x:v>0.4</x:v>
      </x:c>
      <x:c r="B13" s="462" t="n">
        <x:f>Engine!$C$62*(1+$A13)</x:f>
        <x:v>2.0732534491500325</x:v>
      </x:c>
      <x:c r="C13" s="400" t="n">
        <x:f>B13*Engine!$C$31</x:f>
        <x:v>200015.67522933503</x:v>
      </x:c>
      <x:c r="D13" s="400" t="n">
        <x:f>C13-Engine!$C$60</x:f>
        <x:v>57147.335779810004</x:v>
      </x:c>
      <x:c r="E13" s="461" t="n">
        <x:f>IFERROR(D13/C13,0)</x:f>
        <x:v>0.2857142857142857</x:v>
      </x:c>
      <x:c r="F13" s="462" t="n">
        <x:f>Engine!$D$62*(1+$A13)</x:f>
        <x:v>2.250522684134871</x:v>
      </x:c>
      <x:c r="G13" s="400" t="n">
        <x:f>F13*Engine!$D$31</x:f>
        <x:v>177543.73455139998</x:v>
      </x:c>
      <x:c r="H13" s="400" t="n">
        <x:f>G13-Engine!$D$60</x:f>
        <x:v>50726.781300399976</x:v>
      </x:c>
      <x:c r="I13" s="461" t="n">
        <x:f>IFERROR(H13/G13,0)</x:f>
        <x:v>0.28571428571428564</x:v>
      </x:c>
      <x:c r="K13" s="461" t="n">
        <x:f>A13</x:f>
        <x:v>0.4</x:v>
      </x:c>
      <x:c r="L13" s="462" t="n">
        <x:f>B13</x:f>
        <x:v>2.0732534491500325</x:v>
      </x:c>
      <x:c r="M13" s="462" t="n">
        <x:f>F13</x:f>
        <x:v>2.250522684134871</x:v>
      </x:c>
    </x:row>
    <x:row r="15">
      <x:c r="A15" s="193" t="inlineStr">
        <x:is>
          <x:t xml:space="preserve">Selected pricing assumption</x:t>
        </x:is>
      </x:c>
      <x:c r="B15" s="193" t="n"/>
      <x:c r="C15" s="193" t="inlineStr">
        <x:is>
          <x:t xml:space="preserve">Long Distance 40t</x:t>
        </x:is>
      </x:c>
      <x:c r="D15" s="193" t="inlineStr">
        <x:is>
          <x:t xml:space="preserve">Regional 40t</x:t>
        </x:is>
      </x:c>
    </x:row>
    <x:row r="16">
      <x:c r="A16" t="inlineStr">
        <x:is>
          <x:t xml:space="preserve">Selected markup over break-even</x:t>
        </x:is>
      </x:c>
      <x:c r="B16" t="inlineStr">
        <x:is>
          <x:t xml:space="preserve">%</x:t>
        </x:is>
      </x:c>
      <x:c r="C16" s="463" t="n">
        <x:v>0.125</x:v>
      </x:c>
      <x:c r="D16" s="463" t="n">
        <x:v>0.125</x:v>
      </x:c>
    </x:row>
    <x:row r="17">
      <x:c r="A17" t="inlineStr">
        <x:is>
          <x:t xml:space="preserve">Break-even price</x:t>
        </x:is>
      </x:c>
      <x:c r="B17" t="inlineStr">
        <x:is>
          <x:t xml:space="preserve">EUR/loaded km</x:t>
        </x:is>
      </x:c>
      <x:c r="C17" s="464" t="n">
        <x:f>Engine!$C$62</x:f>
        <x:v>1.480895320821452</x:v>
      </x:c>
      <x:c r="D17" s="464" t="n">
        <x:f>Engine!$D$62</x:f>
        <x:v>1.6075162029534795</x:v>
      </x:c>
    </x:row>
    <x:row r="18">
      <x:c r="A18" t="inlineStr">
        <x:is>
          <x:t xml:space="preserve">Final customer rate per loaded km</x:t>
        </x:is>
      </x:c>
      <x:c r="B18" t="inlineStr">
        <x:is>
          <x:t xml:space="preserve">EUR/loaded km</x:t>
        </x:is>
      </x:c>
      <x:c r="C18" s="464" t="n">
        <x:f>C17*(1+C16)</x:f>
        <x:v>1.6660072359241334</x:v>
      </x:c>
      <x:c r="D18" s="464" t="n">
        <x:f>D17*(1+D16)</x:f>
        <x:v>1.8084557283226645</x:v>
      </x:c>
    </x:row>
    <x:row r="19">
      <x:c r="A19" t="inlineStr">
        <x:is>
          <x:t xml:space="preserve">Annual revenue at final rate</x:t>
        </x:is>
      </x:c>
      <x:c r="B19" t="inlineStr">
        <x:is>
          <x:t xml:space="preserve">EUR/year</x:t>
        </x:is>
      </x:c>
      <x:c r="C19" s="465" t="n">
        <x:f>C18*Engine!$C$31</x:f>
        <x:v>160726.88188071563</x:v>
      </x:c>
      <x:c r="D19" s="465" t="n">
        <x:f>D18*Engine!$D$31</x:f>
        <x:v>142669.072407375</x:v>
      </x:c>
    </x:row>
    <x:row r="20">
      <x:c r="A20" t="inlineStr">
        <x:is>
          <x:t xml:space="preserve">EBIT at final rate</x:t>
        </x:is>
      </x:c>
      <x:c r="B20" t="inlineStr">
        <x:is>
          <x:t xml:space="preserve">EUR/year</x:t>
        </x:is>
      </x:c>
      <x:c r="C20" s="465" t="n">
        <x:f>C19-Engine!$C$60</x:f>
        <x:v>17858.54243119061</x:v>
      </x:c>
      <x:c r="D20" s="465" t="n">
        <x:f>D19-Engine!$D$60</x:f>
        <x:v>15852.119156375004</x:v>
      </x:c>
    </x:row>
    <x:row r="21">
      <x:c r="A21" t="inlineStr">
        <x:is>
          <x:t xml:space="preserve">EBIT margin at final rate</x:t>
        </x:is>
      </x:c>
      <x:c r="B21" t="inlineStr">
        <x:is>
          <x:t xml:space="preserve">% revenue</x:t>
        </x:is>
      </x:c>
      <x:c r="C21" s="466" t="n">
        <x:f>IFERROR(C20/C19,0)</x:f>
        <x:v>0.11111111111111101</x:v>
      </x:c>
      <x:c r="D21" s="466" t="n">
        <x:f>IFERROR(D20/D19,0)</x:f>
        <x:v>0.11111111111111113</x:v>
      </x:c>
    </x:row>
    <x:row r="22">
      <x:c r="C22" s="195" t="n"/>
      <x:c r="D22" s="195" t="n"/>
    </x:row>
    <x:row r="23">
      <x:c r="A23" s="193" t="inlineStr">
        <x:is>
          <x:t xml:space="preserve">Target margin cross-check</x:t>
        </x:is>
      </x:c>
      <x:c r="B23" s="193" t="n"/>
      <x:c r="C23" s="196" t="inlineStr">
        <x:is>
          <x:t xml:space="preserve">Long Distance 40t</x:t>
        </x:is>
      </x:c>
      <x:c r="D23" s="196" t="inlineStr">
        <x:is>
          <x:t xml:space="preserve">Regional 40t</x:t>
        </x:is>
      </x:c>
    </x:row>
    <x:row r="24">
      <x:c r="A24" t="inlineStr">
        <x:is>
          <x:t xml:space="preserve">Target EBIT margin from Inputs</x:t>
        </x:is>
      </x:c>
      <x:c r="B24" t="inlineStr">
        <x:is>
          <x:t xml:space="preserve">% revenue</x:t>
        </x:is>
      </x:c>
      <x:c r="C24" s="466" t="n">
        <x:f>Engine!$C$27</x:f>
        <x:v>0.1</x:v>
      </x:c>
      <x:c r="D24" s="466" t="n">
        <x:f>Engine!$D$27</x:f>
        <x:v>0.1</x:v>
      </x:c>
    </x:row>
    <x:row r="25">
      <x:c r="A25" t="inlineStr">
        <x:is>
          <x:t xml:space="preserve">Markup needed to reach target margin</x:t>
        </x:is>
      </x:c>
      <x:c r="B25" t="inlineStr">
        <x:is>
          <x:t xml:space="preserve">% over break-even</x:t>
        </x:is>
      </x:c>
      <x:c r="C25" s="466" t="n">
        <x:f>IFERROR(C24/(1-C24),0)</x:f>
        <x:v>0.11111111111111112</x:v>
      </x:c>
      <x:c r="D25" s="466" t="n">
        <x:f>IFERROR(D24/(1-D24),0)</x:f>
        <x:v>0.11111111111111112</x:v>
      </x:c>
    </x:row>
    <x:row r="26">
      <x:c r="A26" t="inlineStr">
        <x:is>
          <x:t xml:space="preserve">Rate needed to reach target margin</x:t>
        </x:is>
      </x:c>
      <x:c r="B26" t="inlineStr">
        <x:is>
          <x:t xml:space="preserve">EUR/loaded km</x:t>
        </x:is>
      </x:c>
      <x:c r="C26" s="464" t="n">
        <x:f>Engine!$C$62*(1+C25)</x:f>
        <x:v>1.645439245357169</x:v>
      </x:c>
      <x:c r="D26" s="464" t="n">
        <x:f>Engine!$D$62*(1+D25)</x:f>
        <x:v>1.7861291143927551</x:v>
      </x:c>
    </x:row>
    <x:row r="28">
      <x:c r="A28" s="467" t="inlineStr">
        <x:is>
          <x:t xml:space="preserve">Logic note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</x:row>
    <x:row r="29">
      <x:c r="A29" s="468" t="inlineStr">
        <x:is>
          <x:t xml:space="preserve">Break-even is calculated first in Engine row 62.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1" t="n"/>
    </x:row>
    <x:row r="30">
      <x:c r="A30" s="468" t="inlineStr">
        <x:is>
          <x:t xml:space="preserve">Customer rate is then calculated here as: break-even price × (1 + markup over break-even).</x:t>
        </x:is>
      </x:c>
      <x:c r="B30" s="1" t="n"/>
      <x:c r="C30" s="1" t="n"/>
      <x:c r="D30" s="1" t="n"/>
      <x:c r="E30" s="1" t="n"/>
      <x:c r="F30" s="1" t="n"/>
      <x:c r="G30" s="1" t="n"/>
      <x:c r="H30" s="1" t="n"/>
      <x:c r="I30" s="1" t="n"/>
    </x:row>
    <x:row r="31">
      <x:c r="A31" s="468" t="inlineStr">
        <x:is>
          <x:t xml:space="preserve">A 10% markup over break-even is not the same as a 10% EBIT margin; a 10% EBIT margin requires an 11.11% markup over break-even.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</x:row>
    <x:row r="33">
      <x:c r="A33" s="469" t="inlineStr">
        <x:is>
          <x:t xml:space="preserve">Tax-adjusted selected pricing view</x:t>
        </x:is>
      </x:c>
      <x:c r="B33" s="1" t="n"/>
      <x:c r="C33" s="1" t="n"/>
      <x:c r="D33" s="1" t="n"/>
      <x:c r="E33" s="1" t="n"/>
    </x:row>
    <x:row r="35">
      <x:c r="A35" s="237" t="inlineStr">
        <x:is>
          <x:t xml:space="preserve">Metric</x:t>
        </x:is>
      </x:c>
      <x:c r="B35" s="237" t="inlineStr">
        <x:is>
          <x:t xml:space="preserve">Unit</x:t>
        </x:is>
      </x:c>
      <x:c r="C35" s="237" t="inlineStr">
        <x:is>
          <x:t xml:space="preserve">Long Distance 40t</x:t>
        </x:is>
      </x:c>
      <x:c r="D35" s="237" t="inlineStr">
        <x:is>
          <x:t xml:space="preserve">Regional 40t</x:t>
        </x:is>
      </x:c>
      <x:c r="E35" s="237" t="inlineStr">
        <x:is>
          <x:t xml:space="preserve">Formula / source</x:t>
        </x:is>
      </x:c>
    </x:row>
    <x:row r="36">
      <x:c r="A36" s="179" t="inlineStr">
        <x:is>
          <x:t xml:space="preserve">Customer rate excl. VAT</x:t>
        </x:is>
      </x:c>
      <x:c r="B36" s="13" t="inlineStr">
        <x:is>
          <x:t xml:space="preserve">EUR/loaded km</x:t>
        </x:is>
      </x:c>
      <x:c r="C36" s="470" t="n">
        <x:f>'Company &amp; Tax Profile'!C35</x:f>
        <x:v>1.6660072359241334</x:v>
      </x:c>
      <x:c r="D36" s="470" t="n">
        <x:f>'Company &amp; Tax Profile'!D35</x:f>
        <x:v>1.8084557283226645</x:v>
      </x:c>
      <x:c r="E36" s="13" t="inlineStr">
        <x:is>
          <x:t xml:space="preserve">From selected pricing assumption above.</x:t>
        </x:is>
      </x:c>
    </x:row>
    <x:row r="37">
      <x:c r="A37" s="179" t="inlineStr">
        <x:is>
          <x:t xml:space="preserve">Customer invoice rate incl. VAT</x:t>
        </x:is>
      </x:c>
      <x:c r="B37" s="13" t="inlineStr">
        <x:is>
          <x:t xml:space="preserve">EUR/loaded km</x:t>
        </x:is>
      </x:c>
      <x:c r="C37" s="470" t="n">
        <x:f>'Company &amp; Tax Profile'!C36</x:f>
        <x:v>2.015868755468201</x:v>
      </x:c>
      <x:c r="D37" s="470" t="n">
        <x:f>'Company &amp; Tax Profile'!D36</x:f>
        <x:v>2.188231431270424</x:v>
      </x:c>
      <x:c r="E37" s="13" t="inlineStr">
        <x:is>
          <x:t xml:space="preserve">From Company &amp; Tax Profile.</x:t>
        </x:is>
      </x:c>
    </x:row>
    <x:row r="38">
      <x:c r="A38" s="179" t="inlineStr">
        <x:is>
          <x:t xml:space="preserve">Annual revenue excl. VAT</x:t>
        </x:is>
      </x:c>
      <x:c r="B38" s="13" t="inlineStr">
        <x:is>
          <x:t xml:space="preserve">EUR/year</x:t>
        </x:is>
      </x:c>
      <x:c r="C38" s="471" t="n">
        <x:f>'Company &amp; Tax Profile'!C38</x:f>
        <x:v>160726.88188071563</x:v>
      </x:c>
      <x:c r="D38" s="471" t="n">
        <x:f>'Company &amp; Tax Profile'!D38</x:f>
        <x:v>142669.072407375</x:v>
      </x:c>
      <x:c r="E38" s="13" t="inlineStr">
        <x:is>
          <x:t xml:space="preserve">Revenue used for EBIT.</x:t>
        </x:is>
      </x:c>
    </x:row>
    <x:row r="39">
      <x:c r="A39" s="179" t="inlineStr">
        <x:is>
          <x:t xml:space="preserve">VAT collected / payable</x:t>
        </x:is>
      </x:c>
      <x:c r="B39" s="13" t="inlineStr">
        <x:is>
          <x:t xml:space="preserve">EUR/year</x:t>
        </x:is>
      </x:c>
      <x:c r="C39" s="471" t="n">
        <x:f>'Company &amp; Tax Profile'!C39</x:f>
        <x:v>33752.64519495028</x:v>
      </x:c>
      <x:c r="D39" s="471" t="n">
        <x:f>'Company &amp; Tax Profile'!D39</x:f>
        <x:v>29960.50520554875</x:v>
      </x:c>
      <x:c r="E39" s="13" t="inlineStr">
        <x:is>
          <x:t xml:space="preserve">Cash/invoice layer only, not revenue.</x:t>
        </x:is>
      </x:c>
    </x:row>
    <x:row r="40">
      <x:c r="A40" s="179" t="inlineStr">
        <x:is>
          <x:t xml:space="preserve">Invoice value incl. VAT</x:t>
        </x:is>
      </x:c>
      <x:c r="B40" s="13" t="inlineStr">
        <x:is>
          <x:t xml:space="preserve">EUR/year</x:t>
        </x:is>
      </x:c>
      <x:c r="C40" s="471" t="n">
        <x:f>'Company &amp; Tax Profile'!C40</x:f>
        <x:v>194479.52707566592</x:v>
      </x:c>
      <x:c r="D40" s="471" t="n">
        <x:f>'Company &amp; Tax Profile'!D40</x:f>
        <x:v>172629.57761292375</x:v>
      </x:c>
      <x:c r="E40" s="13" t="inlineStr">
        <x:is>
          <x:t xml:space="preserve">Customer invoice amount incl. VAT.</x:t>
        </x:is>
      </x:c>
    </x:row>
    <x:row r="41">
      <x:c r="A41" s="179" t="inlineStr">
        <x:is>
          <x:t xml:space="preserve">EBIT before business tax</x:t>
        </x:is>
      </x:c>
      <x:c r="B41" s="13" t="inlineStr">
        <x:is>
          <x:t xml:space="preserve">EUR/year</x:t>
        </x:is>
      </x:c>
      <x:c r="C41" s="471" t="n">
        <x:f>'Company &amp; Tax Profile'!C41</x:f>
        <x:v>17858.54243119061</x:v>
      </x:c>
      <x:c r="D41" s="471" t="n">
        <x:f>'Company &amp; Tax Profile'!D41</x:f>
        <x:v>15852.119156375004</x:v>
      </x:c>
      <x:c r="E41" s="13" t="inlineStr">
        <x:is>
          <x:t xml:space="preserve">Operational EBIT before company tax.</x:t>
        </x:is>
      </x:c>
    </x:row>
    <x:row r="42">
      <x:c r="A42" s="179" t="inlineStr">
        <x:is>
          <x:t xml:space="preserve">Business tax charge</x:t>
        </x:is>
      </x:c>
      <x:c r="B42" s="13" t="inlineStr">
        <x:is>
          <x:t xml:space="preserve">EUR/year</x:t>
        </x:is>
      </x:c>
      <x:c r="C42" s="471" t="n">
        <x:f>'Company &amp; Tax Profile'!C42</x:f>
        <x:v>2857.3667889904978</x:v>
      </x:c>
      <x:c r="D42" s="471" t="n">
        <x:f>'Company &amp; Tax Profile'!D42</x:f>
        <x:v>2536.339065020001</x:v>
      </x:c>
      <x:c r="E42" s="13" t="inlineStr">
        <x:is>
          <x:t xml:space="preserve">Tax on positive EBIT only.</x:t>
        </x:is>
      </x:c>
    </x:row>
    <x:row r="43">
      <x:c r="A43" s="179" t="inlineStr">
        <x:is>
          <x:t xml:space="preserve">Profit after business tax</x:t>
        </x:is>
      </x:c>
      <x:c r="B43" s="13" t="inlineStr">
        <x:is>
          <x:t xml:space="preserve">EUR/year</x:t>
        </x:is>
      </x:c>
      <x:c r="C43" s="471" t="n">
        <x:f>'Company &amp; Tax Profile'!C43</x:f>
        <x:v>15001.175642200113</x:v>
      </x:c>
      <x:c r="D43" s="471" t="n">
        <x:f>'Company &amp; Tax Profile'!D43</x:f>
        <x:v>13315.780091355002</x:v>
      </x:c>
      <x:c r="E43" s="13" t="inlineStr">
        <x:is>
          <x:t xml:space="preserve">EBIT minus business tax.</x:t>
        </x:is>
      </x:c>
    </x:row>
    <x:row r="44">
      <x:c r="A44" s="179" t="inlineStr">
        <x:is>
          <x:t xml:space="preserve">EBIT margin</x:t>
        </x:is>
      </x:c>
      <x:c r="B44" s="13" t="inlineStr">
        <x:is>
          <x:t xml:space="preserve">% revenue</x:t>
        </x:is>
      </x:c>
      <x:c r="C44" s="472" t="n">
        <x:f>'Company &amp; Tax Profile'!C44</x:f>
        <x:v>0.11111111111111101</x:v>
      </x:c>
      <x:c r="D44" s="472" t="n">
        <x:f>'Company &amp; Tax Profile'!D44</x:f>
        <x:v>0.11111111111111113</x:v>
      </x:c>
      <x:c r="E44" s="13" t="inlineStr">
        <x:is>
          <x:t xml:space="preserve">EBIT / revenue excl. VAT.</x:t>
        </x:is>
      </x:c>
    </x:row>
    <x:row r="45">
      <x:c r="A45" s="179" t="inlineStr">
        <x:is>
          <x:t xml:space="preserve">After-tax profit margin</x:t>
        </x:is>
      </x:c>
      <x:c r="B45" s="13" t="inlineStr">
        <x:is>
          <x:t xml:space="preserve">% revenue</x:t>
        </x:is>
      </x:c>
      <x:c r="C45" s="472" t="n">
        <x:f>'Company &amp; Tax Profile'!C45</x:f>
        <x:v>0.09333333333333325</x:v>
      </x:c>
      <x:c r="D45" s="472" t="n">
        <x:f>'Company &amp; Tax Profile'!D45</x:f>
        <x:v>0.09333333333333334</x:v>
      </x:c>
      <x:c r="E45" s="13" t="inlineStr">
        <x:is>
          <x:t xml:space="preserve">Profit after business tax / revenue excl. VAT.</x:t>
        </x:is>
      </x:c>
    </x:row>
    <x:row r="46">
      <x:c r="A46" s="179" t="inlineStr">
        <x:is>
          <x:t xml:space="preserve">Required rate for target after-tax margin</x:t>
        </x:is>
      </x:c>
      <x:c r="B46" s="13" t="inlineStr">
        <x:is>
          <x:t xml:space="preserve">EUR/loaded km</x:t>
        </x:is>
      </x:c>
      <x:c r="C46" s="470" t="n">
        <x:f>'Company &amp; Tax Profile'!C47</x:f>
        <x:v>1.6792295155743249</x:v>
      </x:c>
      <x:c r="D46" s="470" t="n">
        <x:f>'Company &amp; Tax Profile'!D47</x:f>
        <x:v>1.8228085515633206</x:v>
      </x:c>
      <x:c r="E46" s="13" t="inlineStr">
        <x:is>
          <x:t xml:space="preserve">From Company &amp; Tax Profile.</x:t>
        </x:is>
      </x:c>
    </x:row>
    <x:row r="47">
      <x:c r="A47" s="179" t="n"/>
      <x:c r="B47" s="13" t="n"/>
      <x:c r="C47" s="470" t="n"/>
      <x:c r="D47" s="470" t="n"/>
      <x:c r="E47" s="13" t="n"/>
    </x:row>
  </x:sheetData>
  <x:mergeCells>
    <x:mergeCell ref="A29:I29"/>
    <x:mergeCell ref="A28:I28"/>
    <x:mergeCell ref="A33:E33"/>
    <x:mergeCell ref="A1:I1"/>
    <x:mergeCell ref="A31:I31"/>
    <x:mergeCell ref="A30:I30"/>
  </x:mergeCells>
  <x:pageMargins left="0.7" right="0.7" top="0.75" bottom="0.75" header="0.3" footer="0.3"/>
  <x:drawing xmlns:r="http://schemas.openxmlformats.org/officeDocument/2006/relationships" r:id="R2c2d26eb794e49b7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4" style="60" customWidth="1"/>
    <x:col min="2" max="2" width="24" style="60" customWidth="1"/>
    <x:col min="3" max="3" width="18" style="60" customWidth="1"/>
    <x:col min="4" max="4" width="18" style="60" customWidth="1"/>
    <x:col min="5" max="5" width="54" style="60" customWidth="1"/>
  </x:cols>
  <x:sheetData>
    <x:row r="1" s="60" customFormat="1" ht="28" customHeight="1">
      <x:c r="A1" s="296" t="inlineStr">
        <x:is>
          <x:t xml:space="preserve">Company &amp; Tax Profile — Cascading Jurisdiction Logic</x:t>
        </x:is>
      </x:c>
      <x:c r="B1" s="1" t="n"/>
      <x:c r="C1" s="1" t="n"/>
      <x:c r="D1" s="1" t="n"/>
      <x:c r="E1" s="1" t="n"/>
    </x:row>
    <x:row r="2">
      <x:c r="A2" s="299" t="n"/>
      <x:c r="B2" s="300" t="n"/>
      <x:c r="C2" s="300" t="n"/>
      <x:c r="D2" s="300" t="n"/>
      <x:c r="E2" s="301" t="n"/>
    </x:row>
    <x:row r="3">
      <x:c r="A3" s="302" t="inlineStr">
        <x:is>
          <x:t xml:space="preserve">Cascade selection</x:t>
        </x:is>
      </x:c>
      <x:c r="B3" s="303" t="inlineStr">
        <x:is>
          <x:t xml:space="preserve">Selected value</x:t>
        </x:is>
      </x:c>
      <x:c r="C3" s="303" t="inlineStr">
        <x:is>
          <x:t xml:space="preserve">Status / formula</x:t>
        </x:is>
      </x:c>
      <x:c r="D3" s="303" t="inlineStr">
        <x:is>
          <x:t xml:space="preserve">Unit</x:t>
        </x:is>
      </x:c>
      <x:c r="E3" s="304" t="inlineStr">
        <x:is>
          <x:t xml:space="preserve">Modelling note</x:t>
        </x:is>
      </x:c>
    </x:row>
    <x:row r="4">
      <x:c r="A4" s="305" t="inlineStr">
        <x:is>
          <x:t xml:space="preserve">Company country / jurisdiction</x:t>
        </x:is>
      </x:c>
      <x:c r="B4" s="828" t="str">
        <x:v>Romania</x:v>
      </x:c>
      <x:c r="C4" s="307" t="inlineStr">
        <x:is>
          <x:t xml:space="preserve">Master field</x:t>
        </x:is>
      </x:c>
      <x:c r="D4" s="307" t="str"/>
      <x:c r="E4" s="308" t="inlineStr">
        <x:is>
          <x:t xml:space="preserve">Drives company type, business model, VAT, corporate tax, payroll contribution and vehicle-tax defaults.</x:t>
        </x:is>
      </x:c>
    </x:row>
    <x:row r="5">
      <x:c r="A5" s="305" t="inlineStr">
        <x:is>
          <x:t xml:space="preserve">Company type</x:t>
        </x:is>
      </x:c>
      <x:c r="B5" s="828" t="str">
        <x:f>IFERROR(INDEX('Tax Rules'!$L$2:$L$9,MATCH($B$4,'Tax Rules'!$A$2:$A$9,0)),"")</x:f>
        <x:v>SRL</x:v>
      </x:c>
      <x:c r="C5" s="307" t="inlineStr">
        <x:is>
          <x:t xml:space="preserve">Depends on country</x:t>
        </x:is>
      </x:c>
      <x:c r="D5" s="307" t="str"/>
      <x:c r="E5" s="308" t="str">
        <x:v>Dropdown is controlled by country/jurisdiction. Formula uses INDEX/MATCH for Excel compatibility.</x:v>
      </x:c>
    </x:row>
    <x:row r="6">
      <x:c r="A6" s="305" t="inlineStr">
        <x:is>
          <x:t xml:space="preserve">Business model</x:t>
        </x:is>
      </x:c>
      <x:c r="B6" s="828" t="str">
        <x:f>IFERROR(INDEX('Tax Rules'!$M$2:$M$9,MATCH($B$4,'Tax Rules'!$A$2:$A$9,0)),"")</x:f>
        <x:v>Fleet operator</x:v>
      </x:c>
      <x:c r="C6" s="307" t="inlineStr">
        <x:is>
          <x:t xml:space="preserve">Depends on country + company type</x:t>
        </x:is>
      </x:c>
      <x:c r="D6" s="307" t="str"/>
      <x:c r="E6" s="308" t="str">
        <x:v>Dropdown uses approved operating models. Cascade validity checks country + company type + business model.</x:v>
      </x:c>
    </x:row>
    <x:row r="7">
      <x:c r="A7" s="305" t="inlineStr">
        <x:is>
          <x:t xml:space="preserve">VAT registered</x:t>
        </x:is>
      </x:c>
      <x:c r="B7" s="827" t="str">
        <x:f>IFERROR(INDEX('Tax Rules'!$C$2:$C$9,MATCH($B$4,'Tax Rules'!$A$2:$A$9,0)),"Yes")</x:f>
        <x:v>Yes</x:v>
      </x:c>
      <x:c r="C7" s="307" t="inlineStr">
        <x:is>
          <x:t xml:space="preserve">Pre-filled from country default</x:t>
        </x:is>
      </x:c>
      <x:c r="D7" s="307" t="inlineStr">
        <x:is>
          <x:t xml:space="preserve">Yes/No</x:t>
        </x:is>
      </x:c>
      <x:c r="E7" s="308" t="inlineStr">
        <x:is>
          <x:t xml:space="preserve">VAT does not create profit. It is shown as invoice/cash value only.</x:t>
        </x:is>
      </x:c>
    </x:row>
    <x:row r="8">
      <x:c r="A8" s="305" t="inlineStr">
        <x:is>
          <x:t xml:space="preserve">Cascade validity</x:t>
        </x:is>
      </x:c>
      <x:c r="B8" s="741" t="str">
        <x:f>IF(AND($B$4&lt;&gt;"",$B$5&lt;&gt;"",$B$6&lt;&gt;"",COUNTIFS('Cascade Lists'!$A:$A,$B$4,'Cascade Lists'!$B:$B,$B$5,'Cascade Lists'!$C:$C,$B$6)&gt;0),"Valid cascade","Reselect company type / business model")</x:f>
        <x:v>Valid cascade</x:v>
      </x:c>
      <x:c r="C8" s="473" t="inlineStr">
        <x:is>
          <x:t xml:space="preserve">Check</x:t>
        </x:is>
      </x:c>
      <x:c r="D8" s="473" t="str"/>
      <x:c r="E8" s="308" t="str">
        <x:v>If invalid, reselect company type/business model after changing country.</x:v>
      </x:c>
    </x:row>
    <x:row r="9">
      <x:c r="A9" s="305" t="inlineStr">
        <x:is>
          <x:t xml:space="preserve">Standard VAT rate</x:t>
        </x:is>
      </x:c>
      <x:c r="B9" s="830" t="n">
        <x:f>IFERROR(INDEX('Tax Rules'!$D$2:$D$9,MATCH($B$4,'Tax Rules'!$A$2:$A$9,0)),0)</x:f>
        <x:v>0.21</x:v>
      </x:c>
      <x:c r="C9" s="473" t="inlineStr">
        <x:is>
          <x:t xml:space="preserve">Pre-filled</x:t>
        </x:is>
      </x:c>
      <x:c r="D9" s="473" t="inlineStr">
        <x:is>
          <x:t xml:space="preserve">%</x:t>
        </x:is>
      </x:c>
      <x:c r="E9" s="308" t="inlineStr">
        <x:is>
          <x:t xml:space="preserve">Standard VAT rate used for customer invoice amount.</x:t>
        </x:is>
      </x:c>
    </x:row>
    <x:row r="10">
      <x:c r="A10" s="305" t="inlineStr">
        <x:is>
          <x:t xml:space="preserve">Corporate / business income tax rate</x:t>
        </x:is>
      </x:c>
      <x:c r="B10" s="830" t="n">
        <x:f>IFERROR(INDEX('Tax Rules'!$E$2:$E$9,MATCH($B$4,'Tax Rules'!$A$2:$A$9,0)),0)</x:f>
        <x:v>0.16</x:v>
      </x:c>
      <x:c r="C10" s="473" t="inlineStr">
        <x:is>
          <x:t xml:space="preserve">Pre-filled</x:t>
        </x:is>
      </x:c>
      <x:c r="D10" s="473" t="inlineStr">
        <x:is>
          <x:t xml:space="preserve">%</x:t>
        </x:is>
      </x:c>
      <x:c r="E10" s="308" t="inlineStr">
        <x:is>
          <x:t xml:space="preserve">Standard corporate rate or simplified business-tax proxy.</x:t>
        </x:is>
      </x:c>
    </x:row>
    <x:row r="11">
      <x:c r="A11" s="305" t="inlineStr">
        <x:is>
          <x:t xml:space="preserve">Local / trade tax rate</x:t>
        </x:is>
      </x:c>
      <x:c r="B11" s="830" t="n">
        <x:f>IFERROR(INDEX('Tax Rules'!$F$2:$F$9,MATCH($B$4,'Tax Rules'!$A$2:$A$9,0)),0)</x:f>
        <x:v>0</x:v>
      </x:c>
      <x:c r="C11" s="475" t="inlineStr">
        <x:is>
          <x:t xml:space="preserve">Pre-filled</x:t>
        </x:is>
      </x:c>
      <x:c r="D11" s="475" t="inlineStr">
        <x:is>
          <x:t xml:space="preserve">%</x:t>
        </x:is>
      </x:c>
      <x:c r="E11" s="308" t="inlineStr">
        <x:is>
          <x:t xml:space="preserve">Municipal/local trade tax if applicable. Germany and Hungary are modelled with proxies.</x:t>
        </x:is>
      </x:c>
    </x:row>
    <x:row r="12">
      <x:c r="A12" s="305" t="inlineStr">
        <x:is>
          <x:t xml:space="preserve">Effective business tax rate</x:t>
        </x:is>
      </x:c>
      <x:c r="B12" s="830" t="n">
        <x:f>MIN(MAX($B$10+$B$11,0),1)</x:f>
        <x:v>0.16</x:v>
      </x:c>
      <x:c r="C12" s="473" t="inlineStr">
        <x:is>
          <x:t xml:space="preserve">Formula</x:t>
        </x:is>
      </x:c>
      <x:c r="D12" s="473" t="inlineStr">
        <x:is>
          <x:t xml:space="preserve">%</x:t>
        </x:is>
      </x:c>
      <x:c r="E12" s="308" t="inlineStr">
        <x:is>
          <x:t xml:space="preserve">Corporate/business tax + local/trade tax, capped between 0% and 100%.</x:t>
        </x:is>
      </x:c>
    </x:row>
    <x:row r="13">
      <x:c r="A13" s="305" t="inlineStr">
        <x:is>
          <x:t xml:space="preserve">Target after-tax profit margin</x:t>
        </x:is>
      </x:c>
      <x:c r="B13" s="830" t="n">
        <x:f>IFERROR(INDEX('Tax Rules'!$K$2:$K$9,MATCH($B$4,'Tax Rules'!$A$2:$A$9,0)),0.1)</x:f>
        <x:v>0.1</x:v>
      </x:c>
      <x:c r="C13" s="307" t="inlineStr">
        <x:is>
          <x:t xml:space="preserve">Pre-filled default</x:t>
        </x:is>
      </x:c>
      <x:c r="D13" s="307" t="inlineStr">
        <x:is>
          <x:t xml:space="preserve">%</x:t>
        </x:is>
      </x:c>
      <x:c r="E13" s="308" t="inlineStr">
        <x:is>
          <x:t xml:space="preserve">Used to calculate required customer rate for target after-tax margin.</x:t>
        </x:is>
      </x:c>
    </x:row>
    <x:row r="14">
      <x:c r="A14" s="305" t="inlineStr">
        <x:is>
          <x:t xml:space="preserve">Employer payroll contribution rate</x:t>
        </x:is>
      </x:c>
      <x:c r="B14" s="830" t="n">
        <x:f>IFERROR(INDEX('Tax Rules'!$H$2:$H$9,MATCH($B$4,'Tax Rules'!$A$2:$A$9,0)),0)</x:f>
        <x:v>0.0225</x:v>
      </x:c>
      <x:c r="C14" s="476" t="inlineStr">
        <x:is>
          <x:t xml:space="preserve">Pre-filled</x:t>
        </x:is>
      </x:c>
      <x:c r="D14" s="476" t="inlineStr">
        <x:is>
          <x:t xml:space="preserve">% of gross salary</x:t>
        </x:is>
      </x:c>
      <x:c r="E14" s="308" t="inlineStr">
        <x:is>
          <x:t xml:space="preserve">Used by the Inputs sheet as employer tax rate on salary.</x:t>
        </x:is>
      </x:c>
    </x:row>
    <x:row r="15">
      <x:c r="A15" s="305" t="inlineStr">
        <x:is>
          <x:t xml:space="preserve">Employee contribution rate</x:t>
        </x:is>
      </x:c>
      <x:c r="B15" s="830" t="n">
        <x:f>IFERROR(INDEX('Tax Rules'!$I$2:$I$9,MATCH($B$4,'Tax Rules'!$A$2:$A$9,0)),0)</x:f>
        <x:v>0.35</x:v>
      </x:c>
      <x:c r="C15" s="477" t="inlineStr">
        <x:is>
          <x:t xml:space="preserve">Informational</x:t>
        </x:is>
      </x:c>
      <x:c r="D15" s="477" t="inlineStr">
        <x:is>
          <x:t xml:space="preserve">% of gross salary</x:t>
        </x:is>
      </x:c>
      <x:c r="E15" s="308" t="inlineStr">
        <x:is>
          <x:t xml:space="preserve">Shown for context only; not charged again if salary inputs are gross salary.</x:t>
        </x:is>
      </x:c>
    </x:row>
    <x:row r="16">
      <x:c r="A16" s="305" t="inlineStr">
        <x:is>
          <x:t xml:space="preserve">Default vehicle tax / truck / year</x:t>
        </x:is>
      </x:c>
      <x:c r="B16" s="831" t="n">
        <x:f>IFERROR(INDEX('Tax Rules'!$J$2:$J$9,MATCH($B$4,'Tax Rules'!$A$2:$A$9,0)),0)</x:f>
        <x:v>500</x:v>
      </x:c>
      <x:c r="C16" s="477" t="inlineStr">
        <x:is>
          <x:t xml:space="preserve">Pre-filled</x:t>
        </x:is>
      </x:c>
      <x:c r="D16" s="477" t="inlineStr">
        <x:is>
          <x:t xml:space="preserve">EUR/year</x:t>
        </x:is>
      </x:c>
      <x:c r="E16" s="308" t="inlineStr">
        <x:is>
          <x:t xml:space="preserve">Indicative default. Replace with vehicle-specific road/vehicle tax where available.</x:t>
        </x:is>
      </x:c>
    </x:row>
    <x:row r="17">
      <x:c r="A17" s="305" t="inlineStr">
        <x:is>
          <x:t xml:space="preserve">Currency</x:t>
        </x:is>
      </x:c>
      <x:c r="B17" s="741" t="str">
        <x:f>IFERROR(INDEX('Tax Rules'!$B$2:$B$9,MATCH($B$4,'Tax Rules'!$A$2:$A$9,0)),"EUR")</x:f>
        <x:v>RON/EUR</x:v>
      </x:c>
      <x:c r="C17" s="479" t="inlineStr">
        <x:is>
          <x:t xml:space="preserve">Pre-filled</x:t>
        </x:is>
      </x:c>
      <x:c r="D17" s="479" t="str"/>
      <x:c r="E17" s="308" t="inlineStr">
        <x:is>
          <x:t xml:space="preserve">Workbook remains in EUR; non-EUR jurisdictions need FX consistency.</x:t>
        </x:is>
      </x:c>
    </x:row>
    <x:row r="18">
      <x:c r="A18" s="305" t="inlineStr">
        <x:is>
          <x:t xml:space="preserve">Tax-source as-of</x:t>
        </x:is>
      </x:c>
      <x:c r="B18" s="741" t="str">
        <x:f>IFERROR(INDEX('Tax Rules'!$R$2:$R$9,MATCH($B$4,'Tax Rules'!$A$2:$A$9,0)),"")</x:f>
        <x:v>2026-05</x:v>
      </x:c>
      <x:c r="C18" s="480" t="inlineStr">
        <x:is>
          <x:t xml:space="preserve">Pre-filled</x:t>
        </x:is>
      </x:c>
      <x:c r="D18" s="480" t="str"/>
      <x:c r="E18" s="308" t="inlineStr">
        <x:is>
          <x:t xml:space="preserve">Date of source-data refresh.</x:t>
        </x:is>
      </x:c>
    </x:row>
    <x:row r="19">
      <x:c r="A19" s="305" t="inlineStr">
        <x:is>
          <x:t xml:space="preserve">Country rule note</x:t>
        </x:is>
      </x:c>
      <x:c r="B19" s="741" t="str">
        <x:f>IFERROR(INDEX('Tax Rules'!$N$2:$N$9,MATCH($B$4,'Tax Rules'!$A$2:$A$9,0)),"")</x:f>
        <x:v>Standard CIT used for SRL/SA. Micro-company turnover tax regimes and special working-condition contributions are not modelled by default. VAT standard rate increased to 21% from 1 August 2025.</x:v>
      </x:c>
      <x:c r="C19" s="316" t="inlineStr">
        <x:is>
          <x:t xml:space="preserve">Pre-filled</x:t>
        </x:is>
      </x:c>
      <x:c r="D19" s="316" t="str"/>
      <x:c r="E19" s="308" t="inlineStr">
        <x:is>
          <x:t xml:space="preserve">Country-specific limitations of the simplified model.</x:t>
        </x:is>
      </x:c>
    </x:row>
    <x:row r="20">
      <x:c r="A20" s="305" t="n"/>
      <x:c r="B20" s="316" t="n"/>
      <x:c r="C20" s="316" t="n"/>
      <x:c r="D20" s="316" t="n"/>
      <x:c r="E20" s="308" t="n"/>
    </x:row>
    <x:row r="21">
      <x:c r="A21" s="305" t="n"/>
      <x:c r="B21" s="316" t="n"/>
      <x:c r="C21" s="316" t="n"/>
      <x:c r="D21" s="316" t="n"/>
      <x:c r="E21" s="308" t="n"/>
    </x:row>
    <x:row r="22">
      <x:c r="A22" s="491" t="inlineStr">
        <x:is>
          <x:t xml:space="preserve">Tax values pushed into pricing engine</x:t>
        </x:is>
      </x:c>
      <x:c r="B22" s="492" t="str"/>
      <x:c r="C22" s="492" t="inlineStr">
        <x:is>
          <x:t xml:space="preserve">Long distance 40t</x:t>
        </x:is>
      </x:c>
      <x:c r="D22" s="492" t="inlineStr">
        <x:is>
          <x:t xml:space="preserve">Regional 40t</x:t>
        </x:is>
      </x:c>
      <x:c r="E22" s="493" t="inlineStr">
        <x:is>
          <x:t xml:space="preserve">Source</x:t>
        </x:is>
      </x:c>
    </x:row>
    <x:row r="23" s="60" customFormat="1" ht="20" customHeight="1">
      <x:c r="A23" s="494" t="inlineStr">
        <x:is>
          <x:t xml:space="preserve">VAT registered</x:t>
        </x:is>
      </x:c>
      <x:c r="B23" s="495" t="str"/>
      <x:c r="C23" s="832" t="str">
        <x:f>$B$7</x:f>
        <x:v>Yes</x:v>
      </x:c>
      <x:c r="D23" s="832" t="str">
        <x:f>$B$7</x:f>
        <x:v>Yes</x:v>
      </x:c>
      <x:c r="E23" s="495" t="inlineStr">
        <x:is>
          <x:t xml:space="preserve">From cascade selection</x:t>
        </x:is>
      </x:c>
    </x:row>
    <x:row r="24" s="60" customFormat="1" ht="20" customHeight="1">
      <x:c r="A24" s="494" t="inlineStr">
        <x:is>
          <x:t xml:space="preserve">Standard VAT rate</x:t>
        </x:is>
      </x:c>
      <x:c r="B24" s="495" t="n"/>
      <x:c r="C24" s="832" t="n">
        <x:f>$B$9</x:f>
        <x:v>0.21</x:v>
      </x:c>
      <x:c r="D24" s="832" t="n">
        <x:f>$B$9</x:f>
        <x:v>0.21</x:v>
      </x:c>
      <x:c r="E24" s="495" t="n"/>
    </x:row>
    <x:row r="25" s="60" customFormat="1" ht="20" customHeight="1">
      <x:c r="A25" s="494" t="inlineStr">
        <x:is>
          <x:t xml:space="preserve">Corporate / business income tax rate</x:t>
        </x:is>
      </x:c>
      <x:c r="B25" s="495" t="str"/>
      <x:c r="C25" s="832" t="n">
        <x:f>$B$10</x:f>
        <x:v>0.16</x:v>
      </x:c>
      <x:c r="D25" s="832" t="n">
        <x:f>$B$10</x:f>
        <x:v>0.16</x:v>
      </x:c>
      <x:c r="E25" s="495" t="inlineStr">
        <x:is>
          <x:t xml:space="preserve">From cascade selection</x:t>
        </x:is>
      </x:c>
    </x:row>
    <x:row r="26" s="60" customFormat="1" ht="20" customHeight="1">
      <x:c r="A26" s="494" t="inlineStr">
        <x:is>
          <x:t xml:space="preserve">Local / trade tax rate</x:t>
        </x:is>
      </x:c>
      <x:c r="B26" s="498" t="str"/>
      <x:c r="C26" s="832" t="n">
        <x:f>$B$11</x:f>
        <x:v>0</x:v>
      </x:c>
      <x:c r="D26" s="832" t="n">
        <x:f>$B$11</x:f>
        <x:v>0</x:v>
      </x:c>
      <x:c r="E26" s="498" t="inlineStr">
        <x:is>
          <x:t xml:space="preserve">From cascade selection</x:t>
        </x:is>
      </x:c>
    </x:row>
    <x:row r="27" s="60" customFormat="1" ht="20" customHeight="1">
      <x:c r="A27" s="494" t="inlineStr">
        <x:is>
          <x:t xml:space="preserve">Effective business tax rate</x:t>
        </x:is>
      </x:c>
      <x:c r="B27" s="495" t="str"/>
      <x:c r="C27" s="832" t="n">
        <x:f>$B$12</x:f>
        <x:v>0.16</x:v>
      </x:c>
      <x:c r="D27" s="832" t="n">
        <x:f>$B$12</x:f>
        <x:v>0.16</x:v>
      </x:c>
      <x:c r="E27" s="495" t="inlineStr">
        <x:is>
          <x:t xml:space="preserve">Formula: corporate + local/trade tax</x:t>
        </x:is>
      </x:c>
    </x:row>
    <x:row r="28" s="60" customFormat="1" ht="20" customHeight="1">
      <x:c r="A28" s="494" t="inlineStr">
        <x:is>
          <x:t xml:space="preserve">Target after-tax profit margin</x:t>
        </x:is>
      </x:c>
      <x:c r="B28" s="495" t="str"/>
      <x:c r="C28" s="832" t="n">
        <x:f>$B$13</x:f>
        <x:v>0.1</x:v>
      </x:c>
      <x:c r="D28" s="832" t="n">
        <x:f>$B$13</x:f>
        <x:v>0.1</x:v>
      </x:c>
      <x:c r="E28" s="495" t="inlineStr">
        <x:is>
          <x:t xml:space="preserve">From cascade selection</x:t>
        </x:is>
      </x:c>
    </x:row>
    <x:row r="29" s="60" customFormat="1" ht="20" customHeight="1">
      <x:c r="A29" s="494" t="inlineStr">
        <x:is>
          <x:t xml:space="preserve">Number of trucks</x:t>
        </x:is>
      </x:c>
      <x:c r="B29" s="495" t="str"/>
      <x:c r="C29" s="833" t="n">
        <x:v>1</x:v>
      </x:c>
      <x:c r="D29" s="833" t="n">
        <x:v>1</x:v>
      </x:c>
      <x:c r="E29" s="495" t="inlineStr">
        <x:is>
          <x:t xml:space="preserve">Manual profile-level assumption</x:t>
        </x:is>
      </x:c>
    </x:row>
    <x:row r="30" s="60" customFormat="1" ht="20" customHeight="1">
      <x:c r="A30" s="494" t="inlineStr">
        <x:is>
          <x:t xml:space="preserve">Drivers per truck</x:t>
        </x:is>
      </x:c>
      <x:c r="B30" s="495" t="str"/>
      <x:c r="C30" s="834" t="n">
        <x:f>Inputs!C23</x:f>
        <x:v>1.064</x:v>
      </x:c>
      <x:c r="D30" s="834" t="n">
        <x:f>Inputs!D23</x:f>
        <x:v>1.085</x:v>
      </x:c>
      <x:c r="E30" s="495" t="inlineStr">
        <x:is>
          <x:t xml:space="preserve">Linked from Inputs</x:t>
        </x:is>
      </x:c>
    </x:row>
    <x:row r="31" s="60" customFormat="1" ht="20" customHeight="1">
      <x:c r="A31" s="494" t="inlineStr">
        <x:is>
          <x:t xml:space="preserve">Total drivers</x:t>
        </x:is>
      </x:c>
      <x:c r="B31" s="495" t="str"/>
      <x:c r="C31" s="834" t="n">
        <x:f>C29*C30</x:f>
        <x:v>1.064</x:v>
      </x:c>
      <x:c r="D31" s="834" t="n">
        <x:f>D29*D30</x:f>
        <x:v>1.085</x:v>
      </x:c>
      <x:c r="E31" s="495" t="inlineStr">
        <x:is>
          <x:t xml:space="preserve">Formula</x:t>
        </x:is>
      </x:c>
    </x:row>
    <x:row r="32" s="60" customFormat="1" ht="20" customHeight="1">
      <x:c r="A32" s="494" t="inlineStr">
        <x:is>
          <x:t xml:space="preserve">Employer contribution profile</x:t>
        </x:is>
      </x:c>
      <x:c r="B32" s="495" t="str"/>
      <x:c r="C32" s="832" t="n">
        <x:f>$B$14</x:f>
        <x:v>0.0225</x:v>
      </x:c>
      <x:c r="D32" s="832" t="n">
        <x:f>$B$14</x:f>
        <x:v>0.0225</x:v>
      </x:c>
      <x:c r="E32" s="495" t="inlineStr">
        <x:is>
          <x:t xml:space="preserve">From country payroll rule</x:t>
        </x:is>
      </x:c>
    </x:row>
    <x:row r="33" s="60" customFormat="1" ht="20" customHeight="1">
      <x:c r="A33" s="494" t="inlineStr">
        <x:is>
          <x:t xml:space="preserve">Vehicle tax annual</x:t>
        </x:is>
      </x:c>
      <x:c r="B33" s="495" t="str"/>
      <x:c r="C33" s="835" t="n">
        <x:f>$B$16</x:f>
        <x:v>500</x:v>
      </x:c>
      <x:c r="D33" s="835" t="n">
        <x:f>$B$16</x:f>
        <x:v>500</x:v>
      </x:c>
      <x:c r="E33" s="495" t="inlineStr">
        <x:is>
          <x:t xml:space="preserve">From country vehicle-tax default</x:t>
        </x:is>
      </x:c>
    </x:row>
    <x:row r="34" s="60" customFormat="1" ht="20" customHeight="1">
      <x:c r="A34" s="494" t="inlineStr">
        <x:is>
          <x:t xml:space="preserve">Business tax treatment note</x:t>
        </x:is>
      </x:c>
      <x:c r="B34" s="495" t="str"/>
      <x:c r="C34" s="501" t="inlineStr">
        <x:is>
          <x:t xml:space="preserve">Tax positive EBIT only</x:t>
        </x:is>
      </x:c>
      <x:c r="D34" s="501" t="inlineStr">
        <x:is>
          <x:t xml:space="preserve">Tax positive EBIT only</x:t>
        </x:is>
      </x:c>
      <x:c r="E34" s="495" t="inlineStr">
        <x:is>
          <x:t xml:space="preserve">Model simplification</x:t>
        </x:is>
      </x:c>
    </x:row>
    <x:row r="35" s="60" customFormat="1" ht="20" customHeight="1">
      <x:c r="A35" s="494" t="inlineStr">
        <x:is>
          <x:t xml:space="preserve">Selected customer rate excl. VAT</x:t>
        </x:is>
      </x:c>
      <x:c r="B35" s="495" t="inlineStr">
        <x:is>
          <x:t xml:space="preserve">EUR/loaded km</x:t>
        </x:is>
      </x:c>
      <x:c r="C35" s="836" t="n">
        <x:f>'Pricing Scenarios'!C18</x:f>
        <x:v>1.6660072359241334</x:v>
      </x:c>
      <x:c r="D35" s="836" t="n">
        <x:f>'Pricing Scenarios'!D18</x:f>
        <x:v>1.8084557283226645</x:v>
      </x:c>
      <x:c r="E35" s="495" t="inlineStr">
        <x:is>
          <x:t xml:space="preserve">From Pricing Scenarios selected markup</x:t>
        </x:is>
      </x:c>
    </x:row>
    <x:row r="36" s="60" customFormat="1" ht="20" customHeight="1">
      <x:c r="A36" s="494" t="inlineStr">
        <x:is>
          <x:t xml:space="preserve">Customer invoice rate incl. VAT</x:t>
        </x:is>
      </x:c>
      <x:c r="B36" s="495" t="inlineStr">
        <x:is>
          <x:t xml:space="preserve">EUR/loaded km</x:t>
        </x:is>
      </x:c>
      <x:c r="C36" s="502" t="n">
        <x:f>IF(C23="Yes",C35*(1+C24),C35)</x:f>
        <x:v>2.015868755468201</x:v>
      </x:c>
      <x:c r="D36" s="502" t="n">
        <x:f>IF(D23="Yes",D35*(1+D24),D35)</x:f>
        <x:v>2.188231431270424</x:v>
      </x:c>
      <x:c r="E36" s="495" t="inlineStr">
        <x:is>
          <x:t xml:space="preserve">Formula: excl. VAT × (1 + VAT) if VAT registered</x:t>
        </x:is>
      </x:c>
    </x:row>
    <x:row r="37" s="60" customFormat="1" ht="20" customHeight="1">
      <x:c r="A37" s="494" t="inlineStr">
        <x:is>
          <x:t xml:space="preserve">Loaded km / year</x:t>
        </x:is>
      </x:c>
      <x:c r="B37" s="495" t="inlineStr">
        <x:is>
          <x:t xml:space="preserve">km/year</x:t>
        </x:is>
      </x:c>
      <x:c r="C37" s="501" t="n">
        <x:f>Engine!C31</x:f>
        <x:v>96474.30000000002</x:v>
      </x:c>
      <x:c r="D37" s="501" t="n">
        <x:f>Engine!D31</x:f>
        <x:v>78890</x:v>
      </x:c>
      <x:c r="E37" s="495" t="inlineStr">
        <x:is>
          <x:t xml:space="preserve">From Engine</x:t>
        </x:is>
      </x:c>
    </x:row>
    <x:row r="38" s="60" customFormat="1" ht="20" customHeight="1">
      <x:c r="A38" s="494" t="inlineStr">
        <x:is>
          <x:t xml:space="preserve">Annual revenue excl. VAT</x:t>
        </x:is>
      </x:c>
      <x:c r="B38" s="495" t="inlineStr">
        <x:is>
          <x:t xml:space="preserve">EUR/year</x:t>
        </x:is>
      </x:c>
      <x:c r="C38" s="501" t="n">
        <x:f>C35*C37</x:f>
        <x:v>160726.88188071563</x:v>
      </x:c>
      <x:c r="D38" s="501" t="n">
        <x:f>D35*D37</x:f>
        <x:v>142669.072407375</x:v>
      </x:c>
      <x:c r="E38" s="495" t="inlineStr">
        <x:is>
          <x:t xml:space="preserve">Customer rate excl. VAT × loaded km/year</x:t>
        </x:is>
      </x:c>
    </x:row>
    <x:row r="39" s="60" customFormat="1" ht="20" customHeight="1">
      <x:c r="A39" s="494" t="inlineStr">
        <x:is>
          <x:t xml:space="preserve">VAT collected / payable</x:t>
        </x:is>
      </x:c>
      <x:c r="B39" s="495" t="inlineStr">
        <x:is>
          <x:t xml:space="preserve">EUR/year</x:t>
        </x:is>
      </x:c>
      <x:c r="C39" s="501" t="n">
        <x:f>IF(C23="Yes",C38*C24,0)</x:f>
        <x:v>33752.64519495028</x:v>
      </x:c>
      <x:c r="D39" s="501" t="n">
        <x:f>IF(D23="Yes",D38*D24,0)</x:f>
        <x:v>29960.50520554875</x:v>
      </x:c>
      <x:c r="E39" s="495" t="inlineStr">
        <x:is>
          <x:t xml:space="preserve">Invoice VAT component</x:t>
        </x:is>
      </x:c>
    </x:row>
    <x:row r="40" s="60" customFormat="1" ht="20" customHeight="1">
      <x:c r="A40" s="494" t="inlineStr">
        <x:is>
          <x:t xml:space="preserve">Invoice value incl. VAT</x:t>
        </x:is>
      </x:c>
      <x:c r="B40" s="495" t="inlineStr">
        <x:is>
          <x:t xml:space="preserve">EUR/year</x:t>
        </x:is>
      </x:c>
      <x:c r="C40" s="501" t="n">
        <x:f>C38+C39</x:f>
        <x:v>194479.52707566592</x:v>
      </x:c>
      <x:c r="D40" s="501" t="n">
        <x:f>D38+D39</x:f>
        <x:v>172629.57761292375</x:v>
      </x:c>
      <x:c r="E40" s="495" t="inlineStr">
        <x:is>
          <x:t xml:space="preserve">Revenue excl. VAT + VAT</x:t>
        </x:is>
      </x:c>
    </x:row>
    <x:row r="41" s="60" customFormat="1" ht="20" customHeight="1">
      <x:c r="A41" s="494" t="inlineStr">
        <x:is>
          <x:t xml:space="preserve">EBIT before business tax</x:t>
        </x:is>
      </x:c>
      <x:c r="B41" s="495" t="inlineStr">
        <x:is>
          <x:t xml:space="preserve">EUR/year</x:t>
        </x:is>
      </x:c>
      <x:c r="C41" s="501" t="n">
        <x:f>C38-Engine!C60</x:f>
        <x:v>17858.54243119061</x:v>
      </x:c>
      <x:c r="D41" s="501" t="n">
        <x:f>D38-Engine!D60</x:f>
        <x:v>15852.119156375004</x:v>
      </x:c>
      <x:c r="E41" s="495" t="inlineStr">
        <x:is>
          <x:t xml:space="preserve">Revenue excl. VAT - operating total cost</x:t>
        </x:is>
      </x:c>
    </x:row>
    <x:row r="42" s="60" customFormat="1" ht="20" customHeight="1">
      <x:c r="A42" s="494" t="inlineStr">
        <x:is>
          <x:t xml:space="preserve">Business tax charge</x:t>
        </x:is>
      </x:c>
      <x:c r="B42" s="495" t="n"/>
      <x:c r="C42" s="501" t="n">
        <x:f>MAX(0,C41)*C27</x:f>
        <x:v>2857.3667889904978</x:v>
      </x:c>
      <x:c r="D42" s="501" t="n">
        <x:f>MAX(0,D41)*D27</x:f>
        <x:v>2536.339065020001</x:v>
      </x:c>
      <x:c r="E42" s="495" t="n"/>
    </x:row>
    <x:row r="43" s="60" customFormat="1" ht="20" customHeight="1">
      <x:c r="A43" s="494" t="inlineStr">
        <x:is>
          <x:t xml:space="preserve">Profit after business tax</x:t>
        </x:is>
      </x:c>
      <x:c r="B43" s="495" t="inlineStr">
        <x:is>
          <x:t xml:space="preserve">EUR/year</x:t>
        </x:is>
      </x:c>
      <x:c r="C43" s="501" t="n">
        <x:f>C41-C42</x:f>
        <x:v>15001.175642200113</x:v>
      </x:c>
      <x:c r="D43" s="501" t="n">
        <x:f>D41-D42</x:f>
        <x:v>13315.780091355002</x:v>
      </x:c>
      <x:c r="E43" s="495" t="inlineStr">
        <x:is>
          <x:t xml:space="preserve">EBIT - business tax</x:t>
        </x:is>
      </x:c>
    </x:row>
    <x:row r="44" s="60" customFormat="1" ht="20" customHeight="1">
      <x:c r="A44" s="494" t="inlineStr">
        <x:is>
          <x:t xml:space="preserve">EBIT margin</x:t>
        </x:is>
      </x:c>
      <x:c r="B44" s="495" t="inlineStr">
        <x:is>
          <x:t xml:space="preserve">%</x:t>
        </x:is>
      </x:c>
      <x:c r="C44" s="497" t="n">
        <x:f>IFERROR(C41/C38,0)</x:f>
        <x:v>0.11111111111111101</x:v>
      </x:c>
      <x:c r="D44" s="497" t="n">
        <x:f>IFERROR(D41/D38,0)</x:f>
        <x:v>0.11111111111111113</x:v>
      </x:c>
      <x:c r="E44" s="495" t="inlineStr">
        <x:is>
          <x:t xml:space="preserve">EBIT / revenue excl. VAT</x:t>
        </x:is>
      </x:c>
    </x:row>
    <x:row r="45" s="60" customFormat="1" ht="20" customHeight="1">
      <x:c r="A45" s="494" t="inlineStr">
        <x:is>
          <x:t xml:space="preserve">After-tax profit margin</x:t>
        </x:is>
      </x:c>
      <x:c r="B45" s="495" t="inlineStr">
        <x:is>
          <x:t xml:space="preserve">%</x:t>
        </x:is>
      </x:c>
      <x:c r="C45" s="497" t="n">
        <x:f>IFERROR(C43/C38,0)</x:f>
        <x:v>0.09333333333333325</x:v>
      </x:c>
      <x:c r="D45" s="497" t="n">
        <x:f>IFERROR(D43/D38,0)</x:f>
        <x:v>0.09333333333333334</x:v>
      </x:c>
      <x:c r="E45" s="495" t="inlineStr">
        <x:is>
          <x:t xml:space="preserve">Profit after business tax / revenue excl. VAT</x:t>
        </x:is>
      </x:c>
    </x:row>
    <x:row r="46" s="60" customFormat="1" ht="20" customHeight="1">
      <x:c r="A46" s="494" t="inlineStr">
        <x:is>
          <x:t xml:space="preserve">Required after-tax profit</x:t>
        </x:is>
      </x:c>
      <x:c r="B46" s="495" t="inlineStr">
        <x:is>
          <x:t xml:space="preserve">EUR/year</x:t>
        </x:is>
      </x:c>
      <x:c r="C46" s="501" t="n">
        <x:f>IFERROR(C38*C28/(1-C27),0)</x:f>
        <x:v>19134.152604847102</x:v>
      </x:c>
      <x:c r="D46" s="501" t="n">
        <x:f>IFERROR(D38*D28/(1-D27),0)</x:f>
        <x:v>16984.41338183036</x:v>
      </x:c>
      <x:c r="E46" s="495" t="inlineStr">
        <x:is>
          <x:t xml:space="preserve">Revenue excl. VAT × target after-tax margin / (1 - tax rate)</x:t>
        </x:is>
      </x:c>
    </x:row>
    <x:row r="47" s="60" customFormat="1" ht="35" customHeight="1">
      <x:c r="A47" s="494" t="inlineStr">
        <x:is>
          <x:t xml:space="preserve">Required customer rate for target after-tax margin</x:t>
        </x:is>
      </x:c>
      <x:c r="B47" s="495" t="inlineStr">
        <x:is>
          <x:t xml:space="preserve">EUR/loaded km</x:t>
        </x:is>
      </x:c>
      <x:c r="C47" s="502" t="n">
        <x:f>IFERROR((Engine!C60+C46)/C37,0)</x:f>
        <x:v>1.6792295155743249</x:v>
      </x:c>
      <x:c r="D47" s="502" t="n">
        <x:f>IFERROR((Engine!D60+D46)/D37,0)</x:f>
        <x:v>1.8228085515633206</x:v>
      </x:c>
      <x:c r="E47" s="495" t="inlineStr">
        <x:is>
          <x:t xml:space="preserve">(Cost + required after-tax profit) / loaded km</x:t>
        </x:is>
      </x:c>
    </x:row>
  </x:sheetData>
  <x:mergeCells>
    <x:mergeCell ref="A1:E1"/>
  </x:mergeCells>
  <x:dataValidations count="4">
    <x:dataValidation type="list" allowBlank="0" showDropDown="0" showInputMessage="0" showErrorMessage="0" sqref="B4">
      <x:formula1>'Tax Rules'!$A$2:$A$9</x:formula1>
    </x:dataValidation>
    <x:dataValidation type="list" allowBlank="1" showDropDown="0" showInputMessage="0" showErrorMessage="0" sqref="B5">
      <x:formula1>OFFSET('Dropdown Helper'!$B$2,MATCH($B$4,'Dropdown Helper'!$A$2:$A$9,0)-1,0,1,5)</x:formula1>
    </x:dataValidation>
    <x:dataValidation type="list" allowBlank="1" showDropDown="0" showInputMessage="0" showErrorMessage="0" sqref="B6">
      <x:formula1>'Dropdown Helper'!$H$2:$L$2</x:formula1>
    </x:dataValidation>
    <x:dataValidation type="list" allowBlank="0" showDropDown="0" showInputMessage="0" showErrorMessage="0" sqref="B7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7.360000610351562" style="60" customWidth="1"/>
    <x:col min="2" max="2" width="7.670000076293945" style="60" customWidth="1"/>
    <x:col min="3" max="3" width="18.170000076293945" style="60" customWidth="1"/>
    <x:col min="4" max="4" width="14.539999961853027" style="60" customWidth="1"/>
    <x:col min="5" max="5" width="30.010000228881836" style="60" customWidth="1"/>
    <x:col min="6" max="6" width="24.360000610351562" style="60" customWidth="1"/>
    <x:col min="7" max="7" width="21" style="60" customWidth="1"/>
    <x:col min="8" max="8" width="28.1299991607666" style="60" customWidth="1"/>
    <x:col min="9" max="9" width="22.34000015258789" style="60" customWidth="1"/>
    <x:col min="10" max="10" width="26.3799991607666" style="60" customWidth="1"/>
    <x:col min="11" max="11" width="24.899999618530273" style="60" customWidth="1"/>
    <x:col min="12" max="12" width="18.030000686645508" style="60" customWidth="1"/>
    <x:col min="13" max="13" width="19.110000610351562" style="60" customWidth="1"/>
    <x:col min="14" max="14" width="72" style="60" customWidth="1"/>
    <x:col min="15" max="15" width="44" style="60" customWidth="1"/>
    <x:col min="16" max="16" width="44" style="60" customWidth="1"/>
    <x:col min="17" max="17" width="44" style="60" customWidth="1"/>
    <x:col min="18" max="18" width="6.590000152587891" style="60" customWidth="1"/>
  </x:cols>
  <x:sheetData>
    <x:row r="1">
      <x:c r="A1" s="348" t="inlineStr">
        <x:is>
          <x:t xml:space="preserve">Country / jurisdiction</x:t>
        </x:is>
      </x:c>
      <x:c r="B1" s="349" t="inlineStr">
        <x:is>
          <x:t xml:space="preserve">Currency</x:t>
        </x:is>
      </x:c>
      <x:c r="C1" s="349" t="inlineStr">
        <x:is>
          <x:t xml:space="preserve">Default VAT registered</x:t>
        </x:is>
      </x:c>
      <x:c r="D1" s="349" t="inlineStr">
        <x:is>
          <x:t xml:space="preserve">Standard VAT rate</x:t>
        </x:is>
      </x:c>
      <x:c r="E1" s="349" t="inlineStr">
        <x:is>
          <x:t xml:space="preserve">Corporate / business income tax rate</x:t>
        </x:is>
      </x:c>
      <x:c r="F1" s="349" t="inlineStr">
        <x:is>
          <x:t xml:space="preserve">Local / trade business tax rate</x:t>
        </x:is>
      </x:c>
      <x:c r="G1" s="349" t="inlineStr">
        <x:is>
          <x:t xml:space="preserve">Effective business tax rate</x:t>
        </x:is>
      </x:c>
      <x:c r="H1" s="349" t="inlineStr">
        <x:is>
          <x:t xml:space="preserve">Employer payroll contribution rate</x:t>
        </x:is>
      </x:c>
      <x:c r="I1" s="349" t="inlineStr">
        <x:is>
          <x:t xml:space="preserve">Employee contribution rate</x:t>
        </x:is>
      </x:c>
      <x:c r="J1" s="349" t="inlineStr">
        <x:is>
          <x:t xml:space="preserve">Default vehicle tax / truck / year</x:t>
        </x:is>
      </x:c>
      <x:c r="K1" s="349" t="inlineStr">
        <x:is>
          <x:t xml:space="preserve">Default target after-tax margin</x:t>
        </x:is>
      </x:c>
      <x:c r="L1" s="349" t="inlineStr">
        <x:is>
          <x:t xml:space="preserve">Default company type</x:t>
        </x:is>
      </x:c>
      <x:c r="M1" s="349" t="inlineStr">
        <x:is>
          <x:t xml:space="preserve">Default business model</x:t>
        </x:is>
      </x:c>
      <x:c r="N1" s="361" t="inlineStr">
        <x:is>
          <x:t xml:space="preserve">Modelling note</x:t>
        </x:is>
      </x:c>
      <x:c r="O1" s="361" t="inlineStr">
        <x:is>
          <x:t xml:space="preserve">VAT source URL</x:t>
        </x:is>
      </x:c>
      <x:c r="P1" s="361" t="inlineStr">
        <x:is>
          <x:t xml:space="preserve">Corporate tax source URL</x:t>
        </x:is>
      </x:c>
      <x:c r="Q1" s="361" t="inlineStr">
        <x:is>
          <x:t xml:space="preserve">Payroll source URL</x:t>
        </x:is>
      </x:c>
      <x:c r="R1" s="362" t="inlineStr">
        <x:is>
          <x:t xml:space="preserve">As-of</x:t>
        </x:is>
      </x:c>
    </x:row>
    <x:row r="2">
      <x:c r="A2" s="351" t="inlineStr">
        <x:is>
          <x:t xml:space="preserve">Austria</x:t>
        </x:is>
      </x:c>
      <x:c r="B2" s="352" t="inlineStr">
        <x:is>
          <x:t xml:space="preserve">EUR</x:t>
        </x:is>
      </x:c>
      <x:c r="C2" s="352" t="inlineStr">
        <x:is>
          <x:t xml:space="preserve">Yes</x:t>
        </x:is>
      </x:c>
      <x:c r="D2" s="487" t="n">
        <x:v>0.2</x:v>
      </x:c>
      <x:c r="E2" s="487" t="n">
        <x:v>0.23</x:v>
      </x:c>
      <x:c r="F2" s="487" t="n">
        <x:v>0</x:v>
      </x:c>
      <x:c r="G2" s="487" t="n">
        <x:v>0.23</x:v>
      </x:c>
      <x:c r="H2" s="487" t="n">
        <x:v>0.2098</x:v>
      </x:c>
      <x:c r="I2" s="487" t="n">
        <x:v>0.1807</x:v>
      </x:c>
      <x:c r="J2" s="488" t="n">
        <x:v>800</x:v>
      </x:c>
      <x:c r="K2" s="487" t="n">
        <x:v>0.1</x:v>
      </x:c>
      <x:c r="L2" s="352" t="inlineStr">
        <x:is>
          <x:t xml:space="preserve">GmbH</x:t>
        </x:is>
      </x:c>
      <x:c r="M2" s="352" t="inlineStr">
        <x:is>
          <x:t xml:space="preserve">Fleet operator</x:t>
        </x:is>
      </x:c>
      <x:c r="N2" s="352" t="inlineStr">
        <x:is>
          <x:t xml:space="preserve">Corporate rate used for GmbH/AG. Sole traders are subject to progressive personal income tax; validate separately. Vehicle tax is indicative and should be replaced with vehicle-specific Austrian motor/tax data.</x:t>
        </x:is>
      </x:c>
      <x:c r="O2" s="352" t="inlineStr">
        <x:is>
          <x:t xml:space="preserve">https://www.usp.gv.at/en/themen/steuern-finanzen/umsatzsteuer-ueberblick/steuersaetze-und-steuerbefreiungen-der-umsatzsteuer.html</x:t>
        </x:is>
      </x:c>
      <x:c r="P2" s="352" t="inlineStr">
        <x:is>
          <x:t xml:space="preserve">https://www.usp.gv.at/en/themen/steuern-finanzen/koerperschaftsteuer-ueberblick.html</x:t>
        </x:is>
      </x:c>
      <x:c r="Q2" s="352" t="inlineStr">
        <x:is>
          <x:t xml:space="preserve">https://taxsummaries.pwc.com/austria/individual/other-taxes</x:t>
        </x:is>
      </x:c>
      <x:c r="R2" s="353" t="inlineStr">
        <x:is>
          <x:t xml:space="preserve">2026-05</x:t>
        </x:is>
      </x:c>
    </x:row>
    <x:row r="3">
      <x:c r="A3" s="351" t="inlineStr">
        <x:is>
          <x:t xml:space="preserve">Germany</x:t>
        </x:is>
      </x:c>
      <x:c r="B3" s="352" t="inlineStr">
        <x:is>
          <x:t xml:space="preserve">EUR</x:t>
        </x:is>
      </x:c>
      <x:c r="C3" s="352" t="inlineStr">
        <x:is>
          <x:t xml:space="preserve">Yes</x:t>
        </x:is>
      </x:c>
      <x:c r="D3" s="487" t="n">
        <x:v>0.19</x:v>
      </x:c>
      <x:c r="E3" s="487" t="n">
        <x:v>0.15825</x:v>
      </x:c>
      <x:c r="F3" s="487" t="n">
        <x:v>0.14</x:v>
      </x:c>
      <x:c r="G3" s="487" t="n">
        <x:v>0.29825</x:v>
      </x:c>
      <x:c r="H3" s="487" t="n">
        <x:v>0.1942</x:v>
      </x:c>
      <x:c r="I3" s="487" t="n">
        <x:v>0.1933</x:v>
      </x:c>
      <x:c r="J3" s="488" t="n">
        <x:v>900</x:v>
      </x:c>
      <x:c r="K3" s="487" t="n">
        <x:v>0.1</x:v>
      </x:c>
      <x:c r="L3" s="352" t="inlineStr">
        <x:is>
          <x:t xml:space="preserve">GmbH</x:t>
        </x:is>
      </x:c>
      <x:c r="M3" s="352" t="inlineStr">
        <x:is>
          <x:t xml:space="preserve">Fleet operator</x:t>
        </x:is>
      </x:c>
      <x:c r="N3" s="352" t="inlineStr">
        <x:is>
          <x:t xml:space="preserve">Corporate tax includes 15% Körperschaftsteuer plus 5.5% solidarity surcharge on CIT. Trade tax is municipal; 14% is an average modelling proxy and should be replaced with the exact municipality rate.</x:t>
        </x:is>
      </x:c>
      <x:c r="O3" s="352" t="inlineStr">
        <x:is>
          <x:t xml:space="preserve">https://taxation-customs.ec.europa.eu/taxation/vat/vat-directive/vat-rates_en</x:t>
        </x:is>
      </x:c>
      <x:c r="P3" s="352" t="inlineStr">
        <x:is>
          <x:t xml:space="preserve">https://taxsummaries.pwc.com/germany/corporate/taxes-on-corporate-income</x:t>
        </x:is>
      </x:c>
      <x:c r="Q3" s="352" t="inlineStr">
        <x:is>
          <x:t xml:space="preserve">https://taxsummaries.pwc.com/germany/individual/other-taxes</x:t>
        </x:is>
      </x:c>
      <x:c r="R3" s="353" t="inlineStr">
        <x:is>
          <x:t xml:space="preserve">2026-05</x:t>
        </x:is>
      </x:c>
    </x:row>
    <x:row r="4">
      <x:c r="A4" s="351" t="inlineStr">
        <x:is>
          <x:t xml:space="preserve">Romania</x:t>
        </x:is>
      </x:c>
      <x:c r="B4" s="352" t="inlineStr">
        <x:is>
          <x:t xml:space="preserve">RON/EUR</x:t>
        </x:is>
      </x:c>
      <x:c r="C4" s="352" t="inlineStr">
        <x:is>
          <x:t xml:space="preserve">Yes</x:t>
        </x:is>
      </x:c>
      <x:c r="D4" s="487" t="n">
        <x:v>0.21</x:v>
      </x:c>
      <x:c r="E4" s="487" t="n">
        <x:v>0.16</x:v>
      </x:c>
      <x:c r="F4" s="487" t="n">
        <x:v>0</x:v>
      </x:c>
      <x:c r="G4" s="487" t="n">
        <x:v>0.16</x:v>
      </x:c>
      <x:c r="H4" s="487" t="n">
        <x:v>0.0225</x:v>
      </x:c>
      <x:c r="I4" s="487" t="n">
        <x:v>0.35</x:v>
      </x:c>
      <x:c r="J4" s="488" t="n">
        <x:v>500</x:v>
      </x:c>
      <x:c r="K4" s="487" t="n">
        <x:v>0.1</x:v>
      </x:c>
      <x:c r="L4" s="352" t="inlineStr">
        <x:is>
          <x:t xml:space="preserve">SRL</x:t>
        </x:is>
      </x:c>
      <x:c r="M4" s="352" t="inlineStr">
        <x:is>
          <x:t xml:space="preserve">Fleet operator</x:t>
        </x:is>
      </x:c>
      <x:c r="N4" s="352" t="inlineStr">
        <x:is>
          <x:t xml:space="preserve">Standard CIT used for SRL/SA. Micro-company turnover tax regimes and special working-condition contributions are not modelled by default. VAT standard rate increased to 21% from 1 August 2025.</x:t>
        </x:is>
      </x:c>
      <x:c r="O4" s="352" t="inlineStr">
        <x:is>
          <x:t xml:space="preserve">https://www.ey.com/en_gl/technical/tax-alerts/romanian-tax-changes-introduced-by-new-fiscal-and-budgetary-measures</x:t>
        </x:is>
      </x:c>
      <x:c r="P4" s="352" t="inlineStr">
        <x:is>
          <x:t xml:space="preserve">https://www.accace.com/tax-guideline-for-romania/</x:t>
        </x:is>
      </x:c>
      <x:c r="Q4" s="352" t="inlineStr">
        <x:is>
          <x:t xml:space="preserve">https://taxsummaries.pwc.com/romania/individual/other-taxes</x:t>
        </x:is>
      </x:c>
      <x:c r="R4" s="353" t="inlineStr">
        <x:is>
          <x:t xml:space="preserve">2026-05</x:t>
        </x:is>
      </x:c>
    </x:row>
    <x:row r="5">
      <x:c r="A5" s="351" t="inlineStr">
        <x:is>
          <x:t xml:space="preserve">Hungary</x:t>
        </x:is>
      </x:c>
      <x:c r="B5" s="352" t="inlineStr">
        <x:is>
          <x:t xml:space="preserve">HUF/EUR</x:t>
        </x:is>
      </x:c>
      <x:c r="C5" s="352" t="inlineStr">
        <x:is>
          <x:t xml:space="preserve">Yes</x:t>
        </x:is>
      </x:c>
      <x:c r="D5" s="487" t="n">
        <x:v>0.27</x:v>
      </x:c>
      <x:c r="E5" s="487" t="n">
        <x:v>0.09</x:v>
      </x:c>
      <x:c r="F5" s="487" t="n">
        <x:v>0.02</x:v>
      </x:c>
      <x:c r="G5" s="487" t="n">
        <x:v>0.11</x:v>
      </x:c>
      <x:c r="H5" s="487" t="n">
        <x:v>0.13</x:v>
      </x:c>
      <x:c r="I5" s="487" t="n">
        <x:v>0.185</x:v>
      </x:c>
      <x:c r="J5" s="488" t="n">
        <x:v>500</x:v>
      </x:c>
      <x:c r="K5" s="487" t="n">
        <x:v>0.1</x:v>
      </x:c>
      <x:c r="L5" s="352" t="inlineStr">
        <x:is>
          <x:t xml:space="preserve">Kft.</x:t>
        </x:is>
      </x:c>
      <x:c r="M5" s="352" t="inlineStr">
        <x:is>
          <x:t xml:space="preserve">Fleet operator</x:t>
        </x:is>
      </x:c>
      <x:c r="N5" s="352" t="inlineStr">
        <x:is>
          <x:t xml:space="preserve">Local business tax can be up to 2% and is not an EBIT tax; the model uses it as a simplified profit-tax proxy for pricing sensitivity. Validate with municipality and accountant.</x:t>
        </x:is>
      </x:c>
      <x:c r="O5" s="352" t="inlineStr">
        <x:is>
          <x:t xml:space="preserve">https://taxation-customs.ec.europa.eu/taxation/vat/vat-directive/vat-rates_en</x:t>
        </x:is>
      </x:c>
      <x:c r="P5" s="352" t="inlineStr">
        <x:is>
          <x:t xml:space="preserve">https://taxsummaries.pwc.com/hungary/corporate/taxes-on-corporate-income</x:t>
        </x:is>
      </x:c>
      <x:c r="Q5" s="352" t="inlineStr">
        <x:is>
          <x:t xml:space="preserve">https://taxsummaries.pwc.com/hungary/individual/other-taxes</x:t>
        </x:is>
      </x:c>
      <x:c r="R5" s="353" t="inlineStr">
        <x:is>
          <x:t xml:space="preserve">2026-05</x:t>
        </x:is>
      </x:c>
    </x:row>
    <x:row r="6">
      <x:c r="A6" s="351" t="inlineStr">
        <x:is>
          <x:t xml:space="preserve">Bulgaria</x:t>
        </x:is>
      </x:c>
      <x:c r="B6" s="352" t="inlineStr">
        <x:is>
          <x:t xml:space="preserve">BGN/EUR</x:t>
        </x:is>
      </x:c>
      <x:c r="C6" s="352" t="inlineStr">
        <x:is>
          <x:t xml:space="preserve">Yes</x:t>
        </x:is>
      </x:c>
      <x:c r="D6" s="487" t="n">
        <x:v>0.2</x:v>
      </x:c>
      <x:c r="E6" s="487" t="n">
        <x:v>0.1</x:v>
      </x:c>
      <x:c r="F6" s="487" t="n">
        <x:v>0</x:v>
      </x:c>
      <x:c r="G6" s="487" t="n">
        <x:v>0.1</x:v>
      </x:c>
      <x:c r="H6" s="487" t="n">
        <x:v>0.193</x:v>
      </x:c>
      <x:c r="I6" s="487" t="n">
        <x:v>0.1378</x:v>
      </x:c>
      <x:c r="J6" s="488" t="n">
        <x:v>400</x:v>
      </x:c>
      <x:c r="K6" s="487" t="n">
        <x:v>0.1</x:v>
      </x:c>
      <x:c r="L6" s="352" t="inlineStr">
        <x:is>
          <x:t xml:space="preserve">EOOD/OOD</x:t>
        </x:is>
      </x:c>
      <x:c r="M6" s="352" t="inlineStr">
        <x:is>
          <x:t xml:space="preserve">Fleet operator</x:t>
        </x:is>
      </x:c>
      <x:c r="N6" s="352" t="inlineStr">
        <x:is>
          <x:t xml:space="preserve">Flat 10% CIT used. Employer contribution uses mid-point of published 2026 range; actual rate depends on activity class and caps. No provincial/local corporate income tax.</x:t>
        </x:is>
      </x:c>
      <x:c r="O6" s="352" t="inlineStr">
        <x:is>
          <x:t xml:space="preserve">https://taxsummaries.pwc.com/bulgaria/corporate/other-taxes</x:t>
        </x:is>
      </x:c>
      <x:c r="P6" s="352" t="inlineStr">
        <x:is>
          <x:t xml:space="preserve">https://taxsummaries.pwc.com/bulgaria/corporate/taxes-on-corporate-income</x:t>
        </x:is>
      </x:c>
      <x:c r="Q6" s="352" t="inlineStr">
        <x:is>
          <x:t xml:space="preserve">https://taxsummaries.pwc.com/bulgaria/individual/other-taxes</x:t>
        </x:is>
      </x:c>
      <x:c r="R6" s="353" t="inlineStr">
        <x:is>
          <x:t xml:space="preserve">2026-05</x:t>
        </x:is>
      </x:c>
    </x:row>
    <x:row r="7">
      <x:c r="A7" s="351" t="inlineStr">
        <x:is>
          <x:t xml:space="preserve">Czechia</x:t>
        </x:is>
      </x:c>
      <x:c r="B7" s="352" t="inlineStr">
        <x:is>
          <x:t xml:space="preserve">CZK/EUR</x:t>
        </x:is>
      </x:c>
      <x:c r="C7" s="352" t="inlineStr">
        <x:is>
          <x:t xml:space="preserve">Yes</x:t>
        </x:is>
      </x:c>
      <x:c r="D7" s="487" t="n">
        <x:v>0.21</x:v>
      </x:c>
      <x:c r="E7" s="487" t="n">
        <x:v>0.21</x:v>
      </x:c>
      <x:c r="F7" s="487" t="n">
        <x:v>0</x:v>
      </x:c>
      <x:c r="G7" s="487" t="n">
        <x:v>0.21</x:v>
      </x:c>
      <x:c r="H7" s="487" t="n">
        <x:v>0.338</x:v>
      </x:c>
      <x:c r="I7" s="487" t="n">
        <x:v>0.116</x:v>
      </x:c>
      <x:c r="J7" s="488" t="n">
        <x:v>550</x:v>
      </x:c>
      <x:c r="K7" s="487" t="n">
        <x:v>0.1</x:v>
      </x:c>
      <x:c r="L7" s="352" t="inlineStr">
        <x:is>
          <x:t xml:space="preserve">s.r.o.</x:t>
        </x:is>
      </x:c>
      <x:c r="M7" s="352" t="inlineStr">
        <x:is>
          <x:t xml:space="preserve">Fleet operator</x:t>
        </x:is>
      </x:c>
      <x:c r="N7" s="352" t="inlineStr">
        <x:is>
          <x:t xml:space="preserve">Standard corporate rate used for s.r.o./a.s. Employer contribution combines 24.8% social security and 9% health insurance. Vehicle tax is indicative.</x:t>
        </x:is>
      </x:c>
      <x:c r="O7" s="352" t="inlineStr">
        <x:is>
          <x:t xml:space="preserve">https://taxation-customs.ec.europa.eu/taxation/vat/vat-directive/vat-rates_en</x:t>
        </x:is>
      </x:c>
      <x:c r="P7" s="352" t="inlineStr">
        <x:is>
          <x:t xml:space="preserve">https://portal.gov.cz/en/informace/what-is-the-corporate-income-tax-rate-INF-329</x:t>
        </x:is>
      </x:c>
      <x:c r="Q7" s="352" t="inlineStr">
        <x:is>
          <x:t xml:space="preserve">https://taxsummaries.pwc.com/czech-republic/individual/other-taxes</x:t>
        </x:is>
      </x:c>
      <x:c r="R7" s="353" t="inlineStr">
        <x:is>
          <x:t xml:space="preserve">2026-05</x:t>
        </x:is>
      </x:c>
    </x:row>
    <x:row r="8">
      <x:c r="A8" s="351" t="inlineStr">
        <x:is>
          <x:t xml:space="preserve">Slovakia</x:t>
        </x:is>
      </x:c>
      <x:c r="B8" s="352" t="inlineStr">
        <x:is>
          <x:t xml:space="preserve">EUR</x:t>
        </x:is>
      </x:c>
      <x:c r="C8" s="352" t="inlineStr">
        <x:is>
          <x:t xml:space="preserve">Yes</x:t>
        </x:is>
      </x:c>
      <x:c r="D8" s="487" t="n">
        <x:v>0.23</x:v>
      </x:c>
      <x:c r="E8" s="487" t="n">
        <x:v>0.21</x:v>
      </x:c>
      <x:c r="F8" s="487" t="n">
        <x:v>0</x:v>
      </x:c>
      <x:c r="G8" s="487" t="n">
        <x:v>0.21</x:v>
      </x:c>
      <x:c r="H8" s="487" t="n">
        <x:v>0.362</x:v>
      </x:c>
      <x:c r="I8" s="487" t="n">
        <x:v>0.144</x:v>
      </x:c>
      <x:c r="J8" s="488" t="n">
        <x:v>550</x:v>
      </x:c>
      <x:c r="K8" s="487" t="n">
        <x:v>0.1</x:v>
      </x:c>
      <x:c r="L8" s="352" t="inlineStr">
        <x:is>
          <x:t xml:space="preserve">s.r.o.</x:t>
        </x:is>
      </x:c>
      <x:c r="M8" s="352" t="inlineStr">
        <x:is>
          <x:t xml:space="preserve">Fleet operator</x:t>
        </x:is>
      </x:c>
      <x:c r="N8" s="352" t="inlineStr">
        <x:is>
          <x:t xml:space="preserve">Default CIT rate assumes taxable income above EUR 100k and up to EUR 5m. 10% micro and 24% high-income bands may apply. Employer contributions total 36.2% in 2026.</x:t>
        </x:is>
      </x:c>
      <x:c r="O8" s="352" t="inlineStr">
        <x:is>
          <x:t xml:space="preserve">https://taxsummaries.pwc.com/slovak-republic/corporate/other-taxes</x:t>
        </x:is>
      </x:c>
      <x:c r="P8" s="352" t="inlineStr">
        <x:is>
          <x:t xml:space="preserve">https://www.accace.com/tax-guideline-for-slovakia/</x:t>
        </x:is>
      </x:c>
      <x:c r="Q8" s="352" t="inlineStr">
        <x:is>
          <x:t xml:space="preserve">https://taxsummaries.pwc.com/slovak-republic/corporate/other-taxes</x:t>
        </x:is>
      </x:c>
      <x:c r="R8" s="353" t="inlineStr">
        <x:is>
          <x:t xml:space="preserve">2026-05</x:t>
        </x:is>
      </x:c>
    </x:row>
    <x:row r="9">
      <x:c r="A9" s="354" t="inlineStr">
        <x:is>
          <x:t xml:space="preserve">Manual / Custom</x:t>
        </x:is>
      </x:c>
      <x:c r="B9" s="355" t="inlineStr">
        <x:is>
          <x:t xml:space="preserve">EUR</x:t>
        </x:is>
      </x:c>
      <x:c r="C9" s="355" t="inlineStr">
        <x:is>
          <x:t xml:space="preserve">No</x:t>
        </x:is>
      </x:c>
      <x:c r="D9" s="489" t="n">
        <x:v>0</x:v>
      </x:c>
      <x:c r="E9" s="489" t="n">
        <x:v>0</x:v>
      </x:c>
      <x:c r="F9" s="489" t="n">
        <x:v>0</x:v>
      </x:c>
      <x:c r="G9" s="489" t="n">
        <x:v>0</x:v>
      </x:c>
      <x:c r="H9" s="489" t="n">
        <x:v>0</x:v>
      </x:c>
      <x:c r="I9" s="489" t="n">
        <x:v>0</x:v>
      </x:c>
      <x:c r="J9" s="490" t="n">
        <x:v>0</x:v>
      </x:c>
      <x:c r="K9" s="489" t="n">
        <x:v>0.1</x:v>
      </x:c>
      <x:c r="L9" s="355" t="inlineStr">
        <x:is>
          <x:t xml:space="preserve">Manual entity</x:t>
        </x:is>
      </x:c>
      <x:c r="M9" s="355" t="inlineStr">
        <x:is>
          <x:t xml:space="preserve">Fleet operator</x:t>
        </x:is>
      </x:c>
      <x:c r="N9" s="355" t="inlineStr">
        <x:is>
          <x:t xml:space="preserve">Use this option when the jurisdiction or exact legal entity is not included. Replace all default rates manually before using the model commercially.</x:t>
        </x:is>
      </x:c>
      <x:c r="O9" s="355" t="inlineStr">
        <x:is>
          <x:t xml:space="preserve">Manual input</x:t>
        </x:is>
      </x:c>
      <x:c r="P9" s="355" t="inlineStr">
        <x:is>
          <x:t xml:space="preserve">Manual input</x:t>
        </x:is>
      </x:c>
      <x:c r="Q9" s="355" t="inlineStr">
        <x:is>
          <x:t xml:space="preserve">Manual input</x:t>
        </x:is>
      </x:c>
      <x:c r="R9" s="356" t="inlineStr">
        <x:is>
          <x:t xml:space="preserve">2026-05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7.360000610351562" style="60" customWidth="1"/>
    <x:col min="2" max="2" width="15.609999656677246" style="60" customWidth="1"/>
    <x:col min="3" max="3" width="21.799999237060547" style="60" customWidth="1"/>
    <x:col min="4" max="4" width="7.130000114440918" style="60" customWidth="1"/>
  </x:cols>
  <x:sheetData>
    <x:row r="1">
      <x:c r="A1" s="348" t="inlineStr">
        <x:is>
          <x:t xml:space="preserve">Country / jurisdiction</x:t>
        </x:is>
      </x:c>
      <x:c r="B1" s="349" t="inlineStr">
        <x:is>
          <x:t xml:space="preserve">Company type</x:t>
        </x:is>
      </x:c>
      <x:c r="C1" s="349" t="inlineStr">
        <x:is>
          <x:t xml:space="preserve">Business model</x:t>
        </x:is>
      </x:c>
      <x:c r="D1" s="350" t="inlineStr">
        <x:is>
          <x:t xml:space="preserve">Status</x:t>
        </x:is>
      </x:c>
    </x:row>
    <x:row r="2">
      <x:c r="A2" s="351" t="inlineStr">
        <x:is>
          <x:t xml:space="preserve">Austria</x:t>
        </x:is>
      </x:c>
      <x:c r="B2" s="352" t="inlineStr">
        <x:is>
          <x:t xml:space="preserve">Einzelunternehmen</x:t>
        </x:is>
      </x:c>
      <x:c r="C2" s="352" t="inlineStr">
        <x:is>
          <x:t xml:space="preserve">Owner-operator</x:t>
        </x:is>
      </x:c>
      <x:c r="D2" s="353" t="inlineStr">
        <x:is>
          <x:t xml:space="preserve">Available</x:t>
        </x:is>
      </x:c>
    </x:row>
    <x:row r="3">
      <x:c r="A3" s="351" t="inlineStr">
        <x:is>
          <x:t xml:space="preserve">Austria</x:t>
        </x:is>
      </x:c>
      <x:c r="B3" s="352" t="inlineStr">
        <x:is>
          <x:t xml:space="preserve">Einzelunternehmen</x:t>
        </x:is>
      </x:c>
      <x:c r="C3" s="352" t="inlineStr">
        <x:is>
          <x:t xml:space="preserve">Fleet operator</x:t>
        </x:is>
      </x:c>
      <x:c r="D3" s="353" t="inlineStr">
        <x:is>
          <x:t xml:space="preserve">Available</x:t>
        </x:is>
      </x:c>
    </x:row>
    <x:row r="4">
      <x:c r="A4" s="351" t="inlineStr">
        <x:is>
          <x:t xml:space="preserve">Austria</x:t>
        </x:is>
      </x:c>
      <x:c r="B4" s="352" t="inlineStr">
        <x:is>
          <x:t xml:space="preserve">Einzelunternehmen</x:t>
        </x:is>
      </x:c>
      <x:c r="C4" s="352" t="inlineStr">
        <x:is>
          <x:t xml:space="preserve">Subcontractor</x:t>
        </x:is>
      </x:c>
      <x:c r="D4" s="353" t="inlineStr">
        <x:is>
          <x:t xml:space="preserve">Available</x:t>
        </x:is>
      </x:c>
    </x:row>
    <x:row r="5">
      <x:c r="A5" s="351" t="inlineStr">
        <x:is>
          <x:t xml:space="preserve">Austria</x:t>
        </x:is>
      </x:c>
      <x:c r="B5" s="352" t="inlineStr">
        <x:is>
          <x:t xml:space="preserve">Einzelunternehmen</x:t>
        </x:is>
      </x:c>
      <x:c r="C5" s="352" t="inlineStr">
        <x:is>
          <x:t xml:space="preserve">Mixed</x:t>
        </x:is>
      </x:c>
      <x:c r="D5" s="353" t="inlineStr">
        <x:is>
          <x:t xml:space="preserve">Available</x:t>
        </x:is>
      </x:c>
    </x:row>
    <x:row r="6">
      <x:c r="A6" s="351" t="inlineStr">
        <x:is>
          <x:t xml:space="preserve">Austria</x:t>
        </x:is>
      </x:c>
      <x:c r="B6" s="352" t="inlineStr">
        <x:is>
          <x:t xml:space="preserve">Einzelunternehmen</x:t>
        </x:is>
      </x:c>
      <x:c r="C6" s="352" t="inlineStr">
        <x:is>
          <x:t xml:space="preserve">Carrier with subcontractors</x:t>
        </x:is>
      </x:c>
      <x:c r="D6" s="353" t="inlineStr">
        <x:is>
          <x:t xml:space="preserve">Available</x:t>
        </x:is>
      </x:c>
    </x:row>
    <x:row r="7">
      <x:c r="A7" s="351" t="inlineStr">
        <x:is>
          <x:t xml:space="preserve">Austria</x:t>
        </x:is>
      </x:c>
      <x:c r="B7" s="352" t="inlineStr">
        <x:is>
          <x:t xml:space="preserve">GmbH</x:t>
        </x:is>
      </x:c>
      <x:c r="C7" s="352" t="inlineStr">
        <x:is>
          <x:t xml:space="preserve">Owner-operator</x:t>
        </x:is>
      </x:c>
      <x:c r="D7" s="353" t="inlineStr">
        <x:is>
          <x:t xml:space="preserve">Available</x:t>
        </x:is>
      </x:c>
    </x:row>
    <x:row r="8">
      <x:c r="A8" s="351" t="inlineStr">
        <x:is>
          <x:t xml:space="preserve">Austria</x:t>
        </x:is>
      </x:c>
      <x:c r="B8" s="352" t="inlineStr">
        <x:is>
          <x:t xml:space="preserve">GmbH</x:t>
        </x:is>
      </x:c>
      <x:c r="C8" s="352" t="inlineStr">
        <x:is>
          <x:t xml:space="preserve">Fleet operator</x:t>
        </x:is>
      </x:c>
      <x:c r="D8" s="353" t="inlineStr">
        <x:is>
          <x:t xml:space="preserve">Available</x:t>
        </x:is>
      </x:c>
    </x:row>
    <x:row r="9">
      <x:c r="A9" s="351" t="inlineStr">
        <x:is>
          <x:t xml:space="preserve">Austria</x:t>
        </x:is>
      </x:c>
      <x:c r="B9" s="352" t="inlineStr">
        <x:is>
          <x:t xml:space="preserve">GmbH</x:t>
        </x:is>
      </x:c>
      <x:c r="C9" s="352" t="inlineStr">
        <x:is>
          <x:t xml:space="preserve">Subcontractor</x:t>
        </x:is>
      </x:c>
      <x:c r="D9" s="353" t="inlineStr">
        <x:is>
          <x:t xml:space="preserve">Available</x:t>
        </x:is>
      </x:c>
    </x:row>
    <x:row r="10">
      <x:c r="A10" s="351" t="inlineStr">
        <x:is>
          <x:t xml:space="preserve">Austria</x:t>
        </x:is>
      </x:c>
      <x:c r="B10" s="352" t="inlineStr">
        <x:is>
          <x:t xml:space="preserve">GmbH</x:t>
        </x:is>
      </x:c>
      <x:c r="C10" s="352" t="inlineStr">
        <x:is>
          <x:t xml:space="preserve">Mixed</x:t>
        </x:is>
      </x:c>
      <x:c r="D10" s="353" t="inlineStr">
        <x:is>
          <x:t xml:space="preserve">Available</x:t>
        </x:is>
      </x:c>
    </x:row>
    <x:row r="11">
      <x:c r="A11" s="351" t="inlineStr">
        <x:is>
          <x:t xml:space="preserve">Austria</x:t>
        </x:is>
      </x:c>
      <x:c r="B11" s="352" t="inlineStr">
        <x:is>
          <x:t xml:space="preserve">GmbH</x:t>
        </x:is>
      </x:c>
      <x:c r="C11" s="352" t="inlineStr">
        <x:is>
          <x:t xml:space="preserve">Carrier with subcontractors</x:t>
        </x:is>
      </x:c>
      <x:c r="D11" s="353" t="inlineStr">
        <x:is>
          <x:t xml:space="preserve">Available</x:t>
        </x:is>
      </x:c>
    </x:row>
    <x:row r="12">
      <x:c r="A12" s="351" t="inlineStr">
        <x:is>
          <x:t xml:space="preserve">Austria</x:t>
        </x:is>
      </x:c>
      <x:c r="B12" s="352" t="inlineStr">
        <x:is>
          <x:t xml:space="preserve">AG</x:t>
        </x:is>
      </x:c>
      <x:c r="C12" s="352" t="inlineStr">
        <x:is>
          <x:t xml:space="preserve">Owner-operator</x:t>
        </x:is>
      </x:c>
      <x:c r="D12" s="353" t="inlineStr">
        <x:is>
          <x:t xml:space="preserve">Available</x:t>
        </x:is>
      </x:c>
    </x:row>
    <x:row r="13">
      <x:c r="A13" s="351" t="inlineStr">
        <x:is>
          <x:t xml:space="preserve">Austria</x:t>
        </x:is>
      </x:c>
      <x:c r="B13" s="352" t="inlineStr">
        <x:is>
          <x:t xml:space="preserve">AG</x:t>
        </x:is>
      </x:c>
      <x:c r="C13" s="352" t="inlineStr">
        <x:is>
          <x:t xml:space="preserve">Fleet operator</x:t>
        </x:is>
      </x:c>
      <x:c r="D13" s="353" t="inlineStr">
        <x:is>
          <x:t xml:space="preserve">Available</x:t>
        </x:is>
      </x:c>
    </x:row>
    <x:row r="14">
      <x:c r="A14" s="351" t="inlineStr">
        <x:is>
          <x:t xml:space="preserve">Austria</x:t>
        </x:is>
      </x:c>
      <x:c r="B14" s="352" t="inlineStr">
        <x:is>
          <x:t xml:space="preserve">AG</x:t>
        </x:is>
      </x:c>
      <x:c r="C14" s="352" t="inlineStr">
        <x:is>
          <x:t xml:space="preserve">Subcontractor</x:t>
        </x:is>
      </x:c>
      <x:c r="D14" s="353" t="inlineStr">
        <x:is>
          <x:t xml:space="preserve">Available</x:t>
        </x:is>
      </x:c>
    </x:row>
    <x:row r="15">
      <x:c r="A15" s="351" t="inlineStr">
        <x:is>
          <x:t xml:space="preserve">Austria</x:t>
        </x:is>
      </x:c>
      <x:c r="B15" s="352" t="inlineStr">
        <x:is>
          <x:t xml:space="preserve">AG</x:t>
        </x:is>
      </x:c>
      <x:c r="C15" s="352" t="inlineStr">
        <x:is>
          <x:t xml:space="preserve">Mixed</x:t>
        </x:is>
      </x:c>
      <x:c r="D15" s="353" t="inlineStr">
        <x:is>
          <x:t xml:space="preserve">Available</x:t>
        </x:is>
      </x:c>
    </x:row>
    <x:row r="16">
      <x:c r="A16" s="351" t="inlineStr">
        <x:is>
          <x:t xml:space="preserve">Austria</x:t>
        </x:is>
      </x:c>
      <x:c r="B16" s="352" t="inlineStr">
        <x:is>
          <x:t xml:space="preserve">AG</x:t>
        </x:is>
      </x:c>
      <x:c r="C16" s="352" t="inlineStr">
        <x:is>
          <x:t xml:space="preserve">Carrier with subcontractors</x:t>
        </x:is>
      </x:c>
      <x:c r="D16" s="353" t="inlineStr">
        <x:is>
          <x:t xml:space="preserve">Available</x:t>
        </x:is>
      </x:c>
    </x:row>
    <x:row r="17">
      <x:c r="A17" s="351" t="inlineStr">
        <x:is>
          <x:t xml:space="preserve">Austria</x:t>
        </x:is>
      </x:c>
      <x:c r="B17" s="352" t="inlineStr">
        <x:is>
          <x:t xml:space="preserve">Branch / PE</x:t>
        </x:is>
      </x:c>
      <x:c r="C17" s="352" t="inlineStr">
        <x:is>
          <x:t xml:space="preserve">Owner-operator</x:t>
        </x:is>
      </x:c>
      <x:c r="D17" s="353" t="inlineStr">
        <x:is>
          <x:t xml:space="preserve">Available</x:t>
        </x:is>
      </x:c>
    </x:row>
    <x:row r="18">
      <x:c r="A18" s="351" t="inlineStr">
        <x:is>
          <x:t xml:space="preserve">Austria</x:t>
        </x:is>
      </x:c>
      <x:c r="B18" s="352" t="inlineStr">
        <x:is>
          <x:t xml:space="preserve">Branch / PE</x:t>
        </x:is>
      </x:c>
      <x:c r="C18" s="352" t="inlineStr">
        <x:is>
          <x:t xml:space="preserve">Fleet operator</x:t>
        </x:is>
      </x:c>
      <x:c r="D18" s="353" t="inlineStr">
        <x:is>
          <x:t xml:space="preserve">Available</x:t>
        </x:is>
      </x:c>
    </x:row>
    <x:row r="19">
      <x:c r="A19" s="351" t="inlineStr">
        <x:is>
          <x:t xml:space="preserve">Austria</x:t>
        </x:is>
      </x:c>
      <x:c r="B19" s="352" t="inlineStr">
        <x:is>
          <x:t xml:space="preserve">Branch / PE</x:t>
        </x:is>
      </x:c>
      <x:c r="C19" s="352" t="inlineStr">
        <x:is>
          <x:t xml:space="preserve">Subcontractor</x:t>
        </x:is>
      </x:c>
      <x:c r="D19" s="353" t="inlineStr">
        <x:is>
          <x:t xml:space="preserve">Available</x:t>
        </x:is>
      </x:c>
    </x:row>
    <x:row r="20">
      <x:c r="A20" s="351" t="inlineStr">
        <x:is>
          <x:t xml:space="preserve">Austria</x:t>
        </x:is>
      </x:c>
      <x:c r="B20" s="352" t="inlineStr">
        <x:is>
          <x:t xml:space="preserve">Branch / PE</x:t>
        </x:is>
      </x:c>
      <x:c r="C20" s="352" t="inlineStr">
        <x:is>
          <x:t xml:space="preserve">Mixed</x:t>
        </x:is>
      </x:c>
      <x:c r="D20" s="353" t="inlineStr">
        <x:is>
          <x:t xml:space="preserve">Available</x:t>
        </x:is>
      </x:c>
    </x:row>
    <x:row r="21">
      <x:c r="A21" s="351" t="inlineStr">
        <x:is>
          <x:t xml:space="preserve">Austria</x:t>
        </x:is>
      </x:c>
      <x:c r="B21" s="352" t="inlineStr">
        <x:is>
          <x:t xml:space="preserve">Branch / PE</x:t>
        </x:is>
      </x:c>
      <x:c r="C21" s="352" t="inlineStr">
        <x:is>
          <x:t xml:space="preserve">Carrier with subcontractors</x:t>
        </x:is>
      </x:c>
      <x:c r="D21" s="353" t="inlineStr">
        <x:is>
          <x:t xml:space="preserve">Available</x:t>
        </x:is>
      </x:c>
    </x:row>
    <x:row r="22">
      <x:c r="A22" s="351" t="inlineStr">
        <x:is>
          <x:t xml:space="preserve">Germany</x:t>
        </x:is>
      </x:c>
      <x:c r="B22" s="352" t="inlineStr">
        <x:is>
          <x:t xml:space="preserve">Einzelunternehmen</x:t>
        </x:is>
      </x:c>
      <x:c r="C22" s="352" t="inlineStr">
        <x:is>
          <x:t xml:space="preserve">Owner-operator</x:t>
        </x:is>
      </x:c>
      <x:c r="D22" s="353" t="inlineStr">
        <x:is>
          <x:t xml:space="preserve">Available</x:t>
        </x:is>
      </x:c>
    </x:row>
    <x:row r="23">
      <x:c r="A23" s="351" t="inlineStr">
        <x:is>
          <x:t xml:space="preserve">Germany</x:t>
        </x:is>
      </x:c>
      <x:c r="B23" s="352" t="inlineStr">
        <x:is>
          <x:t xml:space="preserve">Einzelunternehmen</x:t>
        </x:is>
      </x:c>
      <x:c r="C23" s="352" t="inlineStr">
        <x:is>
          <x:t xml:space="preserve">Fleet operator</x:t>
        </x:is>
      </x:c>
      <x:c r="D23" s="353" t="inlineStr">
        <x:is>
          <x:t xml:space="preserve">Available</x:t>
        </x:is>
      </x:c>
    </x:row>
    <x:row r="24">
      <x:c r="A24" s="351" t="inlineStr">
        <x:is>
          <x:t xml:space="preserve">Germany</x:t>
        </x:is>
      </x:c>
      <x:c r="B24" s="352" t="inlineStr">
        <x:is>
          <x:t xml:space="preserve">Einzelunternehmen</x:t>
        </x:is>
      </x:c>
      <x:c r="C24" s="352" t="inlineStr">
        <x:is>
          <x:t xml:space="preserve">Subcontractor</x:t>
        </x:is>
      </x:c>
      <x:c r="D24" s="353" t="inlineStr">
        <x:is>
          <x:t xml:space="preserve">Available</x:t>
        </x:is>
      </x:c>
    </x:row>
    <x:row r="25">
      <x:c r="A25" s="351" t="inlineStr">
        <x:is>
          <x:t xml:space="preserve">Germany</x:t>
        </x:is>
      </x:c>
      <x:c r="B25" s="352" t="inlineStr">
        <x:is>
          <x:t xml:space="preserve">Einzelunternehmen</x:t>
        </x:is>
      </x:c>
      <x:c r="C25" s="352" t="inlineStr">
        <x:is>
          <x:t xml:space="preserve">Mixed</x:t>
        </x:is>
      </x:c>
      <x:c r="D25" s="353" t="inlineStr">
        <x:is>
          <x:t xml:space="preserve">Available</x:t>
        </x:is>
      </x:c>
    </x:row>
    <x:row r="26">
      <x:c r="A26" s="351" t="inlineStr">
        <x:is>
          <x:t xml:space="preserve">Germany</x:t>
        </x:is>
      </x:c>
      <x:c r="B26" s="352" t="inlineStr">
        <x:is>
          <x:t xml:space="preserve">Einzelunternehmen</x:t>
        </x:is>
      </x:c>
      <x:c r="C26" s="352" t="inlineStr">
        <x:is>
          <x:t xml:space="preserve">Carrier with subcontractors</x:t>
        </x:is>
      </x:c>
      <x:c r="D26" s="353" t="inlineStr">
        <x:is>
          <x:t xml:space="preserve">Available</x:t>
        </x:is>
      </x:c>
    </x:row>
    <x:row r="27">
      <x:c r="A27" s="351" t="inlineStr">
        <x:is>
          <x:t xml:space="preserve">Germany</x:t>
        </x:is>
      </x:c>
      <x:c r="B27" s="352" t="inlineStr">
        <x:is>
          <x:t xml:space="preserve">UG</x:t>
        </x:is>
      </x:c>
      <x:c r="C27" s="352" t="inlineStr">
        <x:is>
          <x:t xml:space="preserve">Owner-operator</x:t>
        </x:is>
      </x:c>
      <x:c r="D27" s="353" t="inlineStr">
        <x:is>
          <x:t xml:space="preserve">Available</x:t>
        </x:is>
      </x:c>
    </x:row>
    <x:row r="28">
      <x:c r="A28" s="351" t="inlineStr">
        <x:is>
          <x:t xml:space="preserve">Germany</x:t>
        </x:is>
      </x:c>
      <x:c r="B28" s="352" t="inlineStr">
        <x:is>
          <x:t xml:space="preserve">UG</x:t>
        </x:is>
      </x:c>
      <x:c r="C28" s="352" t="inlineStr">
        <x:is>
          <x:t xml:space="preserve">Fleet operator</x:t>
        </x:is>
      </x:c>
      <x:c r="D28" s="353" t="inlineStr">
        <x:is>
          <x:t xml:space="preserve">Available</x:t>
        </x:is>
      </x:c>
    </x:row>
    <x:row r="29">
      <x:c r="A29" s="351" t="inlineStr">
        <x:is>
          <x:t xml:space="preserve">Germany</x:t>
        </x:is>
      </x:c>
      <x:c r="B29" s="352" t="inlineStr">
        <x:is>
          <x:t xml:space="preserve">UG</x:t>
        </x:is>
      </x:c>
      <x:c r="C29" s="352" t="inlineStr">
        <x:is>
          <x:t xml:space="preserve">Subcontractor</x:t>
        </x:is>
      </x:c>
      <x:c r="D29" s="353" t="inlineStr">
        <x:is>
          <x:t xml:space="preserve">Available</x:t>
        </x:is>
      </x:c>
    </x:row>
    <x:row r="30">
      <x:c r="A30" s="351" t="inlineStr">
        <x:is>
          <x:t xml:space="preserve">Germany</x:t>
        </x:is>
      </x:c>
      <x:c r="B30" s="352" t="inlineStr">
        <x:is>
          <x:t xml:space="preserve">UG</x:t>
        </x:is>
      </x:c>
      <x:c r="C30" s="352" t="inlineStr">
        <x:is>
          <x:t xml:space="preserve">Mixed</x:t>
        </x:is>
      </x:c>
      <x:c r="D30" s="353" t="inlineStr">
        <x:is>
          <x:t xml:space="preserve">Available</x:t>
        </x:is>
      </x:c>
    </x:row>
    <x:row r="31">
      <x:c r="A31" s="351" t="inlineStr">
        <x:is>
          <x:t xml:space="preserve">Germany</x:t>
        </x:is>
      </x:c>
      <x:c r="B31" s="352" t="inlineStr">
        <x:is>
          <x:t xml:space="preserve">UG</x:t>
        </x:is>
      </x:c>
      <x:c r="C31" s="352" t="inlineStr">
        <x:is>
          <x:t xml:space="preserve">Carrier with subcontractors</x:t>
        </x:is>
      </x:c>
      <x:c r="D31" s="353" t="inlineStr">
        <x:is>
          <x:t xml:space="preserve">Available</x:t>
        </x:is>
      </x:c>
    </x:row>
    <x:row r="32">
      <x:c r="A32" s="351" t="inlineStr">
        <x:is>
          <x:t xml:space="preserve">Germany</x:t>
        </x:is>
      </x:c>
      <x:c r="B32" s="352" t="inlineStr">
        <x:is>
          <x:t xml:space="preserve">GmbH</x:t>
        </x:is>
      </x:c>
      <x:c r="C32" s="352" t="inlineStr">
        <x:is>
          <x:t xml:space="preserve">Owner-operator</x:t>
        </x:is>
      </x:c>
      <x:c r="D32" s="353" t="inlineStr">
        <x:is>
          <x:t xml:space="preserve">Available</x:t>
        </x:is>
      </x:c>
    </x:row>
    <x:row r="33">
      <x:c r="A33" s="351" t="inlineStr">
        <x:is>
          <x:t xml:space="preserve">Germany</x:t>
        </x:is>
      </x:c>
      <x:c r="B33" s="352" t="inlineStr">
        <x:is>
          <x:t xml:space="preserve">GmbH</x:t>
        </x:is>
      </x:c>
      <x:c r="C33" s="352" t="inlineStr">
        <x:is>
          <x:t xml:space="preserve">Fleet operator</x:t>
        </x:is>
      </x:c>
      <x:c r="D33" s="353" t="inlineStr">
        <x:is>
          <x:t xml:space="preserve">Available</x:t>
        </x:is>
      </x:c>
    </x:row>
    <x:row r="34">
      <x:c r="A34" s="351" t="inlineStr">
        <x:is>
          <x:t xml:space="preserve">Germany</x:t>
        </x:is>
      </x:c>
      <x:c r="B34" s="352" t="inlineStr">
        <x:is>
          <x:t xml:space="preserve">GmbH</x:t>
        </x:is>
      </x:c>
      <x:c r="C34" s="352" t="inlineStr">
        <x:is>
          <x:t xml:space="preserve">Subcontractor</x:t>
        </x:is>
      </x:c>
      <x:c r="D34" s="353" t="inlineStr">
        <x:is>
          <x:t xml:space="preserve">Available</x:t>
        </x:is>
      </x:c>
    </x:row>
    <x:row r="35">
      <x:c r="A35" s="351" t="inlineStr">
        <x:is>
          <x:t xml:space="preserve">Germany</x:t>
        </x:is>
      </x:c>
      <x:c r="B35" s="352" t="inlineStr">
        <x:is>
          <x:t xml:space="preserve">GmbH</x:t>
        </x:is>
      </x:c>
      <x:c r="C35" s="352" t="inlineStr">
        <x:is>
          <x:t xml:space="preserve">Mixed</x:t>
        </x:is>
      </x:c>
      <x:c r="D35" s="353" t="inlineStr">
        <x:is>
          <x:t xml:space="preserve">Available</x:t>
        </x:is>
      </x:c>
    </x:row>
    <x:row r="36">
      <x:c r="A36" s="351" t="inlineStr">
        <x:is>
          <x:t xml:space="preserve">Germany</x:t>
        </x:is>
      </x:c>
      <x:c r="B36" s="352" t="inlineStr">
        <x:is>
          <x:t xml:space="preserve">GmbH</x:t>
        </x:is>
      </x:c>
      <x:c r="C36" s="352" t="inlineStr">
        <x:is>
          <x:t xml:space="preserve">Carrier with subcontractors</x:t>
        </x:is>
      </x:c>
      <x:c r="D36" s="353" t="inlineStr">
        <x:is>
          <x:t xml:space="preserve">Available</x:t>
        </x:is>
      </x:c>
    </x:row>
    <x:row r="37">
      <x:c r="A37" s="351" t="inlineStr">
        <x:is>
          <x:t xml:space="preserve">Germany</x:t>
        </x:is>
      </x:c>
      <x:c r="B37" s="352" t="inlineStr">
        <x:is>
          <x:t xml:space="preserve">AG</x:t>
        </x:is>
      </x:c>
      <x:c r="C37" s="352" t="inlineStr">
        <x:is>
          <x:t xml:space="preserve">Owner-operator</x:t>
        </x:is>
      </x:c>
      <x:c r="D37" s="353" t="inlineStr">
        <x:is>
          <x:t xml:space="preserve">Available</x:t>
        </x:is>
      </x:c>
    </x:row>
    <x:row r="38">
      <x:c r="A38" s="351" t="inlineStr">
        <x:is>
          <x:t xml:space="preserve">Germany</x:t>
        </x:is>
      </x:c>
      <x:c r="B38" s="352" t="inlineStr">
        <x:is>
          <x:t xml:space="preserve">AG</x:t>
        </x:is>
      </x:c>
      <x:c r="C38" s="352" t="inlineStr">
        <x:is>
          <x:t xml:space="preserve">Fleet operator</x:t>
        </x:is>
      </x:c>
      <x:c r="D38" s="353" t="inlineStr">
        <x:is>
          <x:t xml:space="preserve">Available</x:t>
        </x:is>
      </x:c>
    </x:row>
    <x:row r="39">
      <x:c r="A39" s="351" t="inlineStr">
        <x:is>
          <x:t xml:space="preserve">Germany</x:t>
        </x:is>
      </x:c>
      <x:c r="B39" s="352" t="inlineStr">
        <x:is>
          <x:t xml:space="preserve">AG</x:t>
        </x:is>
      </x:c>
      <x:c r="C39" s="352" t="inlineStr">
        <x:is>
          <x:t xml:space="preserve">Subcontractor</x:t>
        </x:is>
      </x:c>
      <x:c r="D39" s="353" t="inlineStr">
        <x:is>
          <x:t xml:space="preserve">Available</x:t>
        </x:is>
      </x:c>
    </x:row>
    <x:row r="40">
      <x:c r="A40" s="351" t="inlineStr">
        <x:is>
          <x:t xml:space="preserve">Germany</x:t>
        </x:is>
      </x:c>
      <x:c r="B40" s="352" t="inlineStr">
        <x:is>
          <x:t xml:space="preserve">AG</x:t>
        </x:is>
      </x:c>
      <x:c r="C40" s="352" t="inlineStr">
        <x:is>
          <x:t xml:space="preserve">Mixed</x:t>
        </x:is>
      </x:c>
      <x:c r="D40" s="353" t="inlineStr">
        <x:is>
          <x:t xml:space="preserve">Available</x:t>
        </x:is>
      </x:c>
    </x:row>
    <x:row r="41">
      <x:c r="A41" s="351" t="inlineStr">
        <x:is>
          <x:t xml:space="preserve">Germany</x:t>
        </x:is>
      </x:c>
      <x:c r="B41" s="352" t="inlineStr">
        <x:is>
          <x:t xml:space="preserve">AG</x:t>
        </x:is>
      </x:c>
      <x:c r="C41" s="352" t="inlineStr">
        <x:is>
          <x:t xml:space="preserve">Carrier with subcontractors</x:t>
        </x:is>
      </x:c>
      <x:c r="D41" s="353" t="inlineStr">
        <x:is>
          <x:t xml:space="preserve">Available</x:t>
        </x:is>
      </x:c>
    </x:row>
    <x:row r="42">
      <x:c r="A42" s="351" t="inlineStr">
        <x:is>
          <x:t xml:space="preserve">Germany</x:t>
        </x:is>
      </x:c>
      <x:c r="B42" s="352" t="inlineStr">
        <x:is>
          <x:t xml:space="preserve">Branch / PE</x:t>
        </x:is>
      </x:c>
      <x:c r="C42" s="352" t="inlineStr">
        <x:is>
          <x:t xml:space="preserve">Owner-operator</x:t>
        </x:is>
      </x:c>
      <x:c r="D42" s="353" t="inlineStr">
        <x:is>
          <x:t xml:space="preserve">Available</x:t>
        </x:is>
      </x:c>
    </x:row>
    <x:row r="43">
      <x:c r="A43" s="351" t="inlineStr">
        <x:is>
          <x:t xml:space="preserve">Germany</x:t>
        </x:is>
      </x:c>
      <x:c r="B43" s="352" t="inlineStr">
        <x:is>
          <x:t xml:space="preserve">Branch / PE</x:t>
        </x:is>
      </x:c>
      <x:c r="C43" s="352" t="inlineStr">
        <x:is>
          <x:t xml:space="preserve">Fleet operator</x:t>
        </x:is>
      </x:c>
      <x:c r="D43" s="353" t="inlineStr">
        <x:is>
          <x:t xml:space="preserve">Available</x:t>
        </x:is>
      </x:c>
    </x:row>
    <x:row r="44">
      <x:c r="A44" s="351" t="inlineStr">
        <x:is>
          <x:t xml:space="preserve">Germany</x:t>
        </x:is>
      </x:c>
      <x:c r="B44" s="352" t="inlineStr">
        <x:is>
          <x:t xml:space="preserve">Branch / PE</x:t>
        </x:is>
      </x:c>
      <x:c r="C44" s="352" t="inlineStr">
        <x:is>
          <x:t xml:space="preserve">Subcontractor</x:t>
        </x:is>
      </x:c>
      <x:c r="D44" s="353" t="inlineStr">
        <x:is>
          <x:t xml:space="preserve">Available</x:t>
        </x:is>
      </x:c>
    </x:row>
    <x:row r="45">
      <x:c r="A45" s="351" t="inlineStr">
        <x:is>
          <x:t xml:space="preserve">Germany</x:t>
        </x:is>
      </x:c>
      <x:c r="B45" s="352" t="inlineStr">
        <x:is>
          <x:t xml:space="preserve">Branch / PE</x:t>
        </x:is>
      </x:c>
      <x:c r="C45" s="352" t="inlineStr">
        <x:is>
          <x:t xml:space="preserve">Mixed</x:t>
        </x:is>
      </x:c>
      <x:c r="D45" s="353" t="inlineStr">
        <x:is>
          <x:t xml:space="preserve">Available</x:t>
        </x:is>
      </x:c>
    </x:row>
    <x:row r="46">
      <x:c r="A46" s="351" t="inlineStr">
        <x:is>
          <x:t xml:space="preserve">Germany</x:t>
        </x:is>
      </x:c>
      <x:c r="B46" s="352" t="inlineStr">
        <x:is>
          <x:t xml:space="preserve">Branch / PE</x:t>
        </x:is>
      </x:c>
      <x:c r="C46" s="352" t="inlineStr">
        <x:is>
          <x:t xml:space="preserve">Carrier with subcontractors</x:t>
        </x:is>
      </x:c>
      <x:c r="D46" s="353" t="inlineStr">
        <x:is>
          <x:t xml:space="preserve">Available</x:t>
        </x:is>
      </x:c>
    </x:row>
    <x:row r="47">
      <x:c r="A47" s="351" t="inlineStr">
        <x:is>
          <x:t xml:space="preserve">Romania</x:t>
        </x:is>
      </x:c>
      <x:c r="B47" s="352" t="inlineStr">
        <x:is>
          <x:t xml:space="preserve">PFA / II</x:t>
        </x:is>
      </x:c>
      <x:c r="C47" s="352" t="inlineStr">
        <x:is>
          <x:t xml:space="preserve">Owner-operator</x:t>
        </x:is>
      </x:c>
      <x:c r="D47" s="353" t="inlineStr">
        <x:is>
          <x:t xml:space="preserve">Available</x:t>
        </x:is>
      </x:c>
    </x:row>
    <x:row r="48">
      <x:c r="A48" s="351" t="inlineStr">
        <x:is>
          <x:t xml:space="preserve">Romania</x:t>
        </x:is>
      </x:c>
      <x:c r="B48" s="352" t="inlineStr">
        <x:is>
          <x:t xml:space="preserve">PFA / II</x:t>
        </x:is>
      </x:c>
      <x:c r="C48" s="352" t="inlineStr">
        <x:is>
          <x:t xml:space="preserve">Fleet operator</x:t>
        </x:is>
      </x:c>
      <x:c r="D48" s="353" t="inlineStr">
        <x:is>
          <x:t xml:space="preserve">Available</x:t>
        </x:is>
      </x:c>
    </x:row>
    <x:row r="49">
      <x:c r="A49" s="351" t="inlineStr">
        <x:is>
          <x:t xml:space="preserve">Romania</x:t>
        </x:is>
      </x:c>
      <x:c r="B49" s="352" t="inlineStr">
        <x:is>
          <x:t xml:space="preserve">PFA / II</x:t>
        </x:is>
      </x:c>
      <x:c r="C49" s="352" t="inlineStr">
        <x:is>
          <x:t xml:space="preserve">Subcontractor</x:t>
        </x:is>
      </x:c>
      <x:c r="D49" s="353" t="inlineStr">
        <x:is>
          <x:t xml:space="preserve">Available</x:t>
        </x:is>
      </x:c>
    </x:row>
    <x:row r="50">
      <x:c r="A50" s="351" t="inlineStr">
        <x:is>
          <x:t xml:space="preserve">Romania</x:t>
        </x:is>
      </x:c>
      <x:c r="B50" s="352" t="inlineStr">
        <x:is>
          <x:t xml:space="preserve">PFA / II</x:t>
        </x:is>
      </x:c>
      <x:c r="C50" s="352" t="inlineStr">
        <x:is>
          <x:t xml:space="preserve">Mixed</x:t>
        </x:is>
      </x:c>
      <x:c r="D50" s="353" t="inlineStr">
        <x:is>
          <x:t xml:space="preserve">Available</x:t>
        </x:is>
      </x:c>
    </x:row>
    <x:row r="51">
      <x:c r="A51" s="351" t="inlineStr">
        <x:is>
          <x:t xml:space="preserve">Romania</x:t>
        </x:is>
      </x:c>
      <x:c r="B51" s="352" t="inlineStr">
        <x:is>
          <x:t xml:space="preserve">PFA / II</x:t>
        </x:is>
      </x:c>
      <x:c r="C51" s="352" t="inlineStr">
        <x:is>
          <x:t xml:space="preserve">Carrier with subcontractors</x:t>
        </x:is>
      </x:c>
      <x:c r="D51" s="353" t="inlineStr">
        <x:is>
          <x:t xml:space="preserve">Available</x:t>
        </x:is>
      </x:c>
    </x:row>
    <x:row r="52">
      <x:c r="A52" s="351" t="inlineStr">
        <x:is>
          <x:t xml:space="preserve">Romania</x:t>
        </x:is>
      </x:c>
      <x:c r="B52" s="352" t="inlineStr">
        <x:is>
          <x:t xml:space="preserve">SRL</x:t>
        </x:is>
      </x:c>
      <x:c r="C52" s="352" t="inlineStr">
        <x:is>
          <x:t xml:space="preserve">Owner-operator</x:t>
        </x:is>
      </x:c>
      <x:c r="D52" s="353" t="inlineStr">
        <x:is>
          <x:t xml:space="preserve">Available</x:t>
        </x:is>
      </x:c>
    </x:row>
    <x:row r="53">
      <x:c r="A53" s="351" t="inlineStr">
        <x:is>
          <x:t xml:space="preserve">Romania</x:t>
        </x:is>
      </x:c>
      <x:c r="B53" s="352" t="inlineStr">
        <x:is>
          <x:t xml:space="preserve">SRL</x:t>
        </x:is>
      </x:c>
      <x:c r="C53" s="352" t="inlineStr">
        <x:is>
          <x:t xml:space="preserve">Fleet operator</x:t>
        </x:is>
      </x:c>
      <x:c r="D53" s="353" t="inlineStr">
        <x:is>
          <x:t xml:space="preserve">Available</x:t>
        </x:is>
      </x:c>
    </x:row>
    <x:row r="54">
      <x:c r="A54" s="351" t="inlineStr">
        <x:is>
          <x:t xml:space="preserve">Romania</x:t>
        </x:is>
      </x:c>
      <x:c r="B54" s="352" t="inlineStr">
        <x:is>
          <x:t xml:space="preserve">SRL</x:t>
        </x:is>
      </x:c>
      <x:c r="C54" s="352" t="inlineStr">
        <x:is>
          <x:t xml:space="preserve">Subcontractor</x:t>
        </x:is>
      </x:c>
      <x:c r="D54" s="353" t="inlineStr">
        <x:is>
          <x:t xml:space="preserve">Available</x:t>
        </x:is>
      </x:c>
    </x:row>
    <x:row r="55">
      <x:c r="A55" s="351" t="inlineStr">
        <x:is>
          <x:t xml:space="preserve">Romania</x:t>
        </x:is>
      </x:c>
      <x:c r="B55" s="352" t="inlineStr">
        <x:is>
          <x:t xml:space="preserve">SRL</x:t>
        </x:is>
      </x:c>
      <x:c r="C55" s="352" t="inlineStr">
        <x:is>
          <x:t xml:space="preserve">Mixed</x:t>
        </x:is>
      </x:c>
      <x:c r="D55" s="353" t="inlineStr">
        <x:is>
          <x:t xml:space="preserve">Available</x:t>
        </x:is>
      </x:c>
    </x:row>
    <x:row r="56">
      <x:c r="A56" s="351" t="inlineStr">
        <x:is>
          <x:t xml:space="preserve">Romania</x:t>
        </x:is>
      </x:c>
      <x:c r="B56" s="352" t="inlineStr">
        <x:is>
          <x:t xml:space="preserve">SRL</x:t>
        </x:is>
      </x:c>
      <x:c r="C56" s="352" t="inlineStr">
        <x:is>
          <x:t xml:space="preserve">Carrier with subcontractors</x:t>
        </x:is>
      </x:c>
      <x:c r="D56" s="353" t="inlineStr">
        <x:is>
          <x:t xml:space="preserve">Available</x:t>
        </x:is>
      </x:c>
    </x:row>
    <x:row r="57">
      <x:c r="A57" s="351" t="inlineStr">
        <x:is>
          <x:t xml:space="preserve">Romania</x:t>
        </x:is>
      </x:c>
      <x:c r="B57" s="352" t="inlineStr">
        <x:is>
          <x:t xml:space="preserve">SA</x:t>
        </x:is>
      </x:c>
      <x:c r="C57" s="352" t="inlineStr">
        <x:is>
          <x:t xml:space="preserve">Owner-operator</x:t>
        </x:is>
      </x:c>
      <x:c r="D57" s="353" t="inlineStr">
        <x:is>
          <x:t xml:space="preserve">Available</x:t>
        </x:is>
      </x:c>
    </x:row>
    <x:row r="58">
      <x:c r="A58" s="351" t="inlineStr">
        <x:is>
          <x:t xml:space="preserve">Romania</x:t>
        </x:is>
      </x:c>
      <x:c r="B58" s="352" t="inlineStr">
        <x:is>
          <x:t xml:space="preserve">SA</x:t>
        </x:is>
      </x:c>
      <x:c r="C58" s="352" t="inlineStr">
        <x:is>
          <x:t xml:space="preserve">Fleet operator</x:t>
        </x:is>
      </x:c>
      <x:c r="D58" s="353" t="inlineStr">
        <x:is>
          <x:t xml:space="preserve">Available</x:t>
        </x:is>
      </x:c>
    </x:row>
    <x:row r="59">
      <x:c r="A59" s="351" t="inlineStr">
        <x:is>
          <x:t xml:space="preserve">Romania</x:t>
        </x:is>
      </x:c>
      <x:c r="B59" s="352" t="inlineStr">
        <x:is>
          <x:t xml:space="preserve">SA</x:t>
        </x:is>
      </x:c>
      <x:c r="C59" s="352" t="inlineStr">
        <x:is>
          <x:t xml:space="preserve">Subcontractor</x:t>
        </x:is>
      </x:c>
      <x:c r="D59" s="353" t="inlineStr">
        <x:is>
          <x:t xml:space="preserve">Available</x:t>
        </x:is>
      </x:c>
    </x:row>
    <x:row r="60">
      <x:c r="A60" s="351" t="inlineStr">
        <x:is>
          <x:t xml:space="preserve">Romania</x:t>
        </x:is>
      </x:c>
      <x:c r="B60" s="352" t="inlineStr">
        <x:is>
          <x:t xml:space="preserve">SA</x:t>
        </x:is>
      </x:c>
      <x:c r="C60" s="352" t="inlineStr">
        <x:is>
          <x:t xml:space="preserve">Mixed</x:t>
        </x:is>
      </x:c>
      <x:c r="D60" s="353" t="inlineStr">
        <x:is>
          <x:t xml:space="preserve">Available</x:t>
        </x:is>
      </x:c>
    </x:row>
    <x:row r="61">
      <x:c r="A61" s="351" t="inlineStr">
        <x:is>
          <x:t xml:space="preserve">Romania</x:t>
        </x:is>
      </x:c>
      <x:c r="B61" s="352" t="inlineStr">
        <x:is>
          <x:t xml:space="preserve">SA</x:t>
        </x:is>
      </x:c>
      <x:c r="C61" s="352" t="inlineStr">
        <x:is>
          <x:t xml:space="preserve">Carrier with subcontractors</x:t>
        </x:is>
      </x:c>
      <x:c r="D61" s="353" t="inlineStr">
        <x:is>
          <x:t xml:space="preserve">Available</x:t>
        </x:is>
      </x:c>
    </x:row>
    <x:row r="62">
      <x:c r="A62" s="351" t="inlineStr">
        <x:is>
          <x:t xml:space="preserve">Romania</x:t>
        </x:is>
      </x:c>
      <x:c r="B62" s="352" t="inlineStr">
        <x:is>
          <x:t xml:space="preserve">Branch / PE</x:t>
        </x:is>
      </x:c>
      <x:c r="C62" s="352" t="inlineStr">
        <x:is>
          <x:t xml:space="preserve">Owner-operator</x:t>
        </x:is>
      </x:c>
      <x:c r="D62" s="353" t="inlineStr">
        <x:is>
          <x:t xml:space="preserve">Available</x:t>
        </x:is>
      </x:c>
    </x:row>
    <x:row r="63">
      <x:c r="A63" s="351" t="inlineStr">
        <x:is>
          <x:t xml:space="preserve">Romania</x:t>
        </x:is>
      </x:c>
      <x:c r="B63" s="352" t="inlineStr">
        <x:is>
          <x:t xml:space="preserve">Branch / PE</x:t>
        </x:is>
      </x:c>
      <x:c r="C63" s="352" t="inlineStr">
        <x:is>
          <x:t xml:space="preserve">Fleet operator</x:t>
        </x:is>
      </x:c>
      <x:c r="D63" s="353" t="inlineStr">
        <x:is>
          <x:t xml:space="preserve">Available</x:t>
        </x:is>
      </x:c>
    </x:row>
    <x:row r="64">
      <x:c r="A64" s="351" t="inlineStr">
        <x:is>
          <x:t xml:space="preserve">Romania</x:t>
        </x:is>
      </x:c>
      <x:c r="B64" s="352" t="inlineStr">
        <x:is>
          <x:t xml:space="preserve">Branch / PE</x:t>
        </x:is>
      </x:c>
      <x:c r="C64" s="352" t="inlineStr">
        <x:is>
          <x:t xml:space="preserve">Subcontractor</x:t>
        </x:is>
      </x:c>
      <x:c r="D64" s="353" t="inlineStr">
        <x:is>
          <x:t xml:space="preserve">Available</x:t>
        </x:is>
      </x:c>
    </x:row>
    <x:row r="65">
      <x:c r="A65" s="351" t="inlineStr">
        <x:is>
          <x:t xml:space="preserve">Romania</x:t>
        </x:is>
      </x:c>
      <x:c r="B65" s="352" t="inlineStr">
        <x:is>
          <x:t xml:space="preserve">Branch / PE</x:t>
        </x:is>
      </x:c>
      <x:c r="C65" s="352" t="inlineStr">
        <x:is>
          <x:t xml:space="preserve">Mixed</x:t>
        </x:is>
      </x:c>
      <x:c r="D65" s="353" t="inlineStr">
        <x:is>
          <x:t xml:space="preserve">Available</x:t>
        </x:is>
      </x:c>
    </x:row>
    <x:row r="66">
      <x:c r="A66" s="351" t="inlineStr">
        <x:is>
          <x:t xml:space="preserve">Romania</x:t>
        </x:is>
      </x:c>
      <x:c r="B66" s="352" t="inlineStr">
        <x:is>
          <x:t xml:space="preserve">Branch / PE</x:t>
        </x:is>
      </x:c>
      <x:c r="C66" s="352" t="inlineStr">
        <x:is>
          <x:t xml:space="preserve">Carrier with subcontractors</x:t>
        </x:is>
      </x:c>
      <x:c r="D66" s="353" t="inlineStr">
        <x:is>
          <x:t xml:space="preserve">Available</x:t>
        </x:is>
      </x:c>
    </x:row>
    <x:row r="67">
      <x:c r="A67" s="351" t="inlineStr">
        <x:is>
          <x:t xml:space="preserve">Hungary</x:t>
        </x:is>
      </x:c>
      <x:c r="B67" s="352" t="inlineStr">
        <x:is>
          <x:t xml:space="preserve">Egyéni vállalkozó</x:t>
        </x:is>
      </x:c>
      <x:c r="C67" s="352" t="inlineStr">
        <x:is>
          <x:t xml:space="preserve">Owner-operator</x:t>
        </x:is>
      </x:c>
      <x:c r="D67" s="353" t="inlineStr">
        <x:is>
          <x:t xml:space="preserve">Available</x:t>
        </x:is>
      </x:c>
    </x:row>
    <x:row r="68">
      <x:c r="A68" s="351" t="inlineStr">
        <x:is>
          <x:t xml:space="preserve">Hungary</x:t>
        </x:is>
      </x:c>
      <x:c r="B68" s="352" t="inlineStr">
        <x:is>
          <x:t xml:space="preserve">Egyéni vállalkozó</x:t>
        </x:is>
      </x:c>
      <x:c r="C68" s="352" t="inlineStr">
        <x:is>
          <x:t xml:space="preserve">Fleet operator</x:t>
        </x:is>
      </x:c>
      <x:c r="D68" s="353" t="inlineStr">
        <x:is>
          <x:t xml:space="preserve">Available</x:t>
        </x:is>
      </x:c>
    </x:row>
    <x:row r="69">
      <x:c r="A69" s="351" t="inlineStr">
        <x:is>
          <x:t xml:space="preserve">Hungary</x:t>
        </x:is>
      </x:c>
      <x:c r="B69" s="352" t="inlineStr">
        <x:is>
          <x:t xml:space="preserve">Egyéni vállalkozó</x:t>
        </x:is>
      </x:c>
      <x:c r="C69" s="352" t="inlineStr">
        <x:is>
          <x:t xml:space="preserve">Subcontractor</x:t>
        </x:is>
      </x:c>
      <x:c r="D69" s="353" t="inlineStr">
        <x:is>
          <x:t xml:space="preserve">Available</x:t>
        </x:is>
      </x:c>
    </x:row>
    <x:row r="70">
      <x:c r="A70" s="351" t="inlineStr">
        <x:is>
          <x:t xml:space="preserve">Hungary</x:t>
        </x:is>
      </x:c>
      <x:c r="B70" s="352" t="inlineStr">
        <x:is>
          <x:t xml:space="preserve">Egyéni vállalkozó</x:t>
        </x:is>
      </x:c>
      <x:c r="C70" s="352" t="inlineStr">
        <x:is>
          <x:t xml:space="preserve">Mixed</x:t>
        </x:is>
      </x:c>
      <x:c r="D70" s="353" t="inlineStr">
        <x:is>
          <x:t xml:space="preserve">Available</x:t>
        </x:is>
      </x:c>
    </x:row>
    <x:row r="71">
      <x:c r="A71" s="351" t="inlineStr">
        <x:is>
          <x:t xml:space="preserve">Hungary</x:t>
        </x:is>
      </x:c>
      <x:c r="B71" s="352" t="inlineStr">
        <x:is>
          <x:t xml:space="preserve">Egyéni vállalkozó</x:t>
        </x:is>
      </x:c>
      <x:c r="C71" s="352" t="inlineStr">
        <x:is>
          <x:t xml:space="preserve">Carrier with subcontractors</x:t>
        </x:is>
      </x:c>
      <x:c r="D71" s="353" t="inlineStr">
        <x:is>
          <x:t xml:space="preserve">Available</x:t>
        </x:is>
      </x:c>
    </x:row>
    <x:row r="72">
      <x:c r="A72" s="351" t="inlineStr">
        <x:is>
          <x:t xml:space="preserve">Hungary</x:t>
        </x:is>
      </x:c>
      <x:c r="B72" s="352" t="inlineStr">
        <x:is>
          <x:t xml:space="preserve">Kft.</x:t>
        </x:is>
      </x:c>
      <x:c r="C72" s="352" t="inlineStr">
        <x:is>
          <x:t xml:space="preserve">Owner-operator</x:t>
        </x:is>
      </x:c>
      <x:c r="D72" s="353" t="inlineStr">
        <x:is>
          <x:t xml:space="preserve">Available</x:t>
        </x:is>
      </x:c>
    </x:row>
    <x:row r="73">
      <x:c r="A73" s="351" t="inlineStr">
        <x:is>
          <x:t xml:space="preserve">Hungary</x:t>
        </x:is>
      </x:c>
      <x:c r="B73" s="352" t="inlineStr">
        <x:is>
          <x:t xml:space="preserve">Kft.</x:t>
        </x:is>
      </x:c>
      <x:c r="C73" s="352" t="inlineStr">
        <x:is>
          <x:t xml:space="preserve">Fleet operator</x:t>
        </x:is>
      </x:c>
      <x:c r="D73" s="353" t="inlineStr">
        <x:is>
          <x:t xml:space="preserve">Available</x:t>
        </x:is>
      </x:c>
    </x:row>
    <x:row r="74">
      <x:c r="A74" s="351" t="inlineStr">
        <x:is>
          <x:t xml:space="preserve">Hungary</x:t>
        </x:is>
      </x:c>
      <x:c r="B74" s="352" t="inlineStr">
        <x:is>
          <x:t xml:space="preserve">Kft.</x:t>
        </x:is>
      </x:c>
      <x:c r="C74" s="352" t="inlineStr">
        <x:is>
          <x:t xml:space="preserve">Subcontractor</x:t>
        </x:is>
      </x:c>
      <x:c r="D74" s="353" t="inlineStr">
        <x:is>
          <x:t xml:space="preserve">Available</x:t>
        </x:is>
      </x:c>
    </x:row>
    <x:row r="75">
      <x:c r="A75" s="351" t="inlineStr">
        <x:is>
          <x:t xml:space="preserve">Hungary</x:t>
        </x:is>
      </x:c>
      <x:c r="B75" s="352" t="inlineStr">
        <x:is>
          <x:t xml:space="preserve">Kft.</x:t>
        </x:is>
      </x:c>
      <x:c r="C75" s="352" t="inlineStr">
        <x:is>
          <x:t xml:space="preserve">Mixed</x:t>
        </x:is>
      </x:c>
      <x:c r="D75" s="353" t="inlineStr">
        <x:is>
          <x:t xml:space="preserve">Available</x:t>
        </x:is>
      </x:c>
    </x:row>
    <x:row r="76">
      <x:c r="A76" s="351" t="inlineStr">
        <x:is>
          <x:t xml:space="preserve">Hungary</x:t>
        </x:is>
      </x:c>
      <x:c r="B76" s="352" t="inlineStr">
        <x:is>
          <x:t xml:space="preserve">Kft.</x:t>
        </x:is>
      </x:c>
      <x:c r="C76" s="352" t="inlineStr">
        <x:is>
          <x:t xml:space="preserve">Carrier with subcontractors</x:t>
        </x:is>
      </x:c>
      <x:c r="D76" s="353" t="inlineStr">
        <x:is>
          <x:t xml:space="preserve">Available</x:t>
        </x:is>
      </x:c>
    </x:row>
    <x:row r="77">
      <x:c r="A77" s="351" t="inlineStr">
        <x:is>
          <x:t xml:space="preserve">Hungary</x:t>
        </x:is>
      </x:c>
      <x:c r="B77" s="352" t="inlineStr">
        <x:is>
          <x:t xml:space="preserve">Zrt. / Nyrt.</x:t>
        </x:is>
      </x:c>
      <x:c r="C77" s="352" t="inlineStr">
        <x:is>
          <x:t xml:space="preserve">Owner-operator</x:t>
        </x:is>
      </x:c>
      <x:c r="D77" s="353" t="inlineStr">
        <x:is>
          <x:t xml:space="preserve">Available</x:t>
        </x:is>
      </x:c>
    </x:row>
    <x:row r="78">
      <x:c r="A78" s="351" t="inlineStr">
        <x:is>
          <x:t xml:space="preserve">Hungary</x:t>
        </x:is>
      </x:c>
      <x:c r="B78" s="352" t="inlineStr">
        <x:is>
          <x:t xml:space="preserve">Zrt. / Nyrt.</x:t>
        </x:is>
      </x:c>
      <x:c r="C78" s="352" t="inlineStr">
        <x:is>
          <x:t xml:space="preserve">Fleet operator</x:t>
        </x:is>
      </x:c>
      <x:c r="D78" s="353" t="inlineStr">
        <x:is>
          <x:t xml:space="preserve">Available</x:t>
        </x:is>
      </x:c>
    </x:row>
    <x:row r="79">
      <x:c r="A79" s="351" t="inlineStr">
        <x:is>
          <x:t xml:space="preserve">Hungary</x:t>
        </x:is>
      </x:c>
      <x:c r="B79" s="352" t="inlineStr">
        <x:is>
          <x:t xml:space="preserve">Zrt. / Nyrt.</x:t>
        </x:is>
      </x:c>
      <x:c r="C79" s="352" t="inlineStr">
        <x:is>
          <x:t xml:space="preserve">Subcontractor</x:t>
        </x:is>
      </x:c>
      <x:c r="D79" s="353" t="inlineStr">
        <x:is>
          <x:t xml:space="preserve">Available</x:t>
        </x:is>
      </x:c>
    </x:row>
    <x:row r="80">
      <x:c r="A80" s="351" t="inlineStr">
        <x:is>
          <x:t xml:space="preserve">Hungary</x:t>
        </x:is>
      </x:c>
      <x:c r="B80" s="352" t="inlineStr">
        <x:is>
          <x:t xml:space="preserve">Zrt. / Nyrt.</x:t>
        </x:is>
      </x:c>
      <x:c r="C80" s="352" t="inlineStr">
        <x:is>
          <x:t xml:space="preserve">Mixed</x:t>
        </x:is>
      </x:c>
      <x:c r="D80" s="353" t="inlineStr">
        <x:is>
          <x:t xml:space="preserve">Available</x:t>
        </x:is>
      </x:c>
    </x:row>
    <x:row r="81">
      <x:c r="A81" s="351" t="inlineStr">
        <x:is>
          <x:t xml:space="preserve">Hungary</x:t>
        </x:is>
      </x:c>
      <x:c r="B81" s="352" t="inlineStr">
        <x:is>
          <x:t xml:space="preserve">Zrt. / Nyrt.</x:t>
        </x:is>
      </x:c>
      <x:c r="C81" s="352" t="inlineStr">
        <x:is>
          <x:t xml:space="preserve">Carrier with subcontractors</x:t>
        </x:is>
      </x:c>
      <x:c r="D81" s="353" t="inlineStr">
        <x:is>
          <x:t xml:space="preserve">Available</x:t>
        </x:is>
      </x:c>
    </x:row>
    <x:row r="82">
      <x:c r="A82" s="351" t="inlineStr">
        <x:is>
          <x:t xml:space="preserve">Hungary</x:t>
        </x:is>
      </x:c>
      <x:c r="B82" s="352" t="inlineStr">
        <x:is>
          <x:t xml:space="preserve">Branch / PE</x:t>
        </x:is>
      </x:c>
      <x:c r="C82" s="352" t="inlineStr">
        <x:is>
          <x:t xml:space="preserve">Owner-operator</x:t>
        </x:is>
      </x:c>
      <x:c r="D82" s="353" t="inlineStr">
        <x:is>
          <x:t xml:space="preserve">Available</x:t>
        </x:is>
      </x:c>
    </x:row>
    <x:row r="83">
      <x:c r="A83" s="351" t="inlineStr">
        <x:is>
          <x:t xml:space="preserve">Hungary</x:t>
        </x:is>
      </x:c>
      <x:c r="B83" s="352" t="inlineStr">
        <x:is>
          <x:t xml:space="preserve">Branch / PE</x:t>
        </x:is>
      </x:c>
      <x:c r="C83" s="352" t="inlineStr">
        <x:is>
          <x:t xml:space="preserve">Fleet operator</x:t>
        </x:is>
      </x:c>
      <x:c r="D83" s="353" t="inlineStr">
        <x:is>
          <x:t xml:space="preserve">Available</x:t>
        </x:is>
      </x:c>
    </x:row>
    <x:row r="84">
      <x:c r="A84" s="351" t="inlineStr">
        <x:is>
          <x:t xml:space="preserve">Hungary</x:t>
        </x:is>
      </x:c>
      <x:c r="B84" s="352" t="inlineStr">
        <x:is>
          <x:t xml:space="preserve">Branch / PE</x:t>
        </x:is>
      </x:c>
      <x:c r="C84" s="352" t="inlineStr">
        <x:is>
          <x:t xml:space="preserve">Subcontractor</x:t>
        </x:is>
      </x:c>
      <x:c r="D84" s="353" t="inlineStr">
        <x:is>
          <x:t xml:space="preserve">Available</x:t>
        </x:is>
      </x:c>
    </x:row>
    <x:row r="85">
      <x:c r="A85" s="351" t="inlineStr">
        <x:is>
          <x:t xml:space="preserve">Hungary</x:t>
        </x:is>
      </x:c>
      <x:c r="B85" s="352" t="inlineStr">
        <x:is>
          <x:t xml:space="preserve">Branch / PE</x:t>
        </x:is>
      </x:c>
      <x:c r="C85" s="352" t="inlineStr">
        <x:is>
          <x:t xml:space="preserve">Mixed</x:t>
        </x:is>
      </x:c>
      <x:c r="D85" s="353" t="inlineStr">
        <x:is>
          <x:t xml:space="preserve">Available</x:t>
        </x:is>
      </x:c>
    </x:row>
    <x:row r="86">
      <x:c r="A86" s="351" t="inlineStr">
        <x:is>
          <x:t xml:space="preserve">Hungary</x:t>
        </x:is>
      </x:c>
      <x:c r="B86" s="352" t="inlineStr">
        <x:is>
          <x:t xml:space="preserve">Branch / PE</x:t>
        </x:is>
      </x:c>
      <x:c r="C86" s="352" t="inlineStr">
        <x:is>
          <x:t xml:space="preserve">Carrier with subcontractors</x:t>
        </x:is>
      </x:c>
      <x:c r="D86" s="353" t="inlineStr">
        <x:is>
          <x:t xml:space="preserve">Available</x:t>
        </x:is>
      </x:c>
    </x:row>
    <x:row r="87">
      <x:c r="A87" s="351" t="inlineStr">
        <x:is>
          <x:t xml:space="preserve">Bulgaria</x:t>
        </x:is>
      </x:c>
      <x:c r="B87" s="352" t="inlineStr">
        <x:is>
          <x:t xml:space="preserve">ET</x:t>
        </x:is>
      </x:c>
      <x:c r="C87" s="352" t="inlineStr">
        <x:is>
          <x:t xml:space="preserve">Owner-operator</x:t>
        </x:is>
      </x:c>
      <x:c r="D87" s="353" t="inlineStr">
        <x:is>
          <x:t xml:space="preserve">Available</x:t>
        </x:is>
      </x:c>
    </x:row>
    <x:row r="88">
      <x:c r="A88" s="351" t="inlineStr">
        <x:is>
          <x:t xml:space="preserve">Bulgaria</x:t>
        </x:is>
      </x:c>
      <x:c r="B88" s="352" t="inlineStr">
        <x:is>
          <x:t xml:space="preserve">ET</x:t>
        </x:is>
      </x:c>
      <x:c r="C88" s="352" t="inlineStr">
        <x:is>
          <x:t xml:space="preserve">Fleet operator</x:t>
        </x:is>
      </x:c>
      <x:c r="D88" s="353" t="inlineStr">
        <x:is>
          <x:t xml:space="preserve">Available</x:t>
        </x:is>
      </x:c>
    </x:row>
    <x:row r="89">
      <x:c r="A89" s="351" t="inlineStr">
        <x:is>
          <x:t xml:space="preserve">Bulgaria</x:t>
        </x:is>
      </x:c>
      <x:c r="B89" s="352" t="inlineStr">
        <x:is>
          <x:t xml:space="preserve">ET</x:t>
        </x:is>
      </x:c>
      <x:c r="C89" s="352" t="inlineStr">
        <x:is>
          <x:t xml:space="preserve">Subcontractor</x:t>
        </x:is>
      </x:c>
      <x:c r="D89" s="353" t="inlineStr">
        <x:is>
          <x:t xml:space="preserve">Available</x:t>
        </x:is>
      </x:c>
    </x:row>
    <x:row r="90">
      <x:c r="A90" s="351" t="inlineStr">
        <x:is>
          <x:t xml:space="preserve">Bulgaria</x:t>
        </x:is>
      </x:c>
      <x:c r="B90" s="352" t="inlineStr">
        <x:is>
          <x:t xml:space="preserve">ET</x:t>
        </x:is>
      </x:c>
      <x:c r="C90" s="352" t="inlineStr">
        <x:is>
          <x:t xml:space="preserve">Mixed</x:t>
        </x:is>
      </x:c>
      <x:c r="D90" s="353" t="inlineStr">
        <x:is>
          <x:t xml:space="preserve">Available</x:t>
        </x:is>
      </x:c>
    </x:row>
    <x:row r="91">
      <x:c r="A91" s="351" t="inlineStr">
        <x:is>
          <x:t xml:space="preserve">Bulgaria</x:t>
        </x:is>
      </x:c>
      <x:c r="B91" s="352" t="inlineStr">
        <x:is>
          <x:t xml:space="preserve">ET</x:t>
        </x:is>
      </x:c>
      <x:c r="C91" s="352" t="inlineStr">
        <x:is>
          <x:t xml:space="preserve">Carrier with subcontractors</x:t>
        </x:is>
      </x:c>
      <x:c r="D91" s="353" t="inlineStr">
        <x:is>
          <x:t xml:space="preserve">Available</x:t>
        </x:is>
      </x:c>
    </x:row>
    <x:row r="92">
      <x:c r="A92" s="351" t="inlineStr">
        <x:is>
          <x:t xml:space="preserve">Bulgaria</x:t>
        </x:is>
      </x:c>
      <x:c r="B92" s="352" t="inlineStr">
        <x:is>
          <x:t xml:space="preserve">EOOD/OOD</x:t>
        </x:is>
      </x:c>
      <x:c r="C92" s="352" t="inlineStr">
        <x:is>
          <x:t xml:space="preserve">Owner-operator</x:t>
        </x:is>
      </x:c>
      <x:c r="D92" s="353" t="inlineStr">
        <x:is>
          <x:t xml:space="preserve">Available</x:t>
        </x:is>
      </x:c>
    </x:row>
    <x:row r="93">
      <x:c r="A93" s="351" t="inlineStr">
        <x:is>
          <x:t xml:space="preserve">Bulgaria</x:t>
        </x:is>
      </x:c>
      <x:c r="B93" s="352" t="inlineStr">
        <x:is>
          <x:t xml:space="preserve">EOOD/OOD</x:t>
        </x:is>
      </x:c>
      <x:c r="C93" s="352" t="inlineStr">
        <x:is>
          <x:t xml:space="preserve">Fleet operator</x:t>
        </x:is>
      </x:c>
      <x:c r="D93" s="353" t="inlineStr">
        <x:is>
          <x:t xml:space="preserve">Available</x:t>
        </x:is>
      </x:c>
    </x:row>
    <x:row r="94">
      <x:c r="A94" s="351" t="inlineStr">
        <x:is>
          <x:t xml:space="preserve">Bulgaria</x:t>
        </x:is>
      </x:c>
      <x:c r="B94" s="352" t="inlineStr">
        <x:is>
          <x:t xml:space="preserve">EOOD/OOD</x:t>
        </x:is>
      </x:c>
      <x:c r="C94" s="352" t="inlineStr">
        <x:is>
          <x:t xml:space="preserve">Subcontractor</x:t>
        </x:is>
      </x:c>
      <x:c r="D94" s="353" t="inlineStr">
        <x:is>
          <x:t xml:space="preserve">Available</x:t>
        </x:is>
      </x:c>
    </x:row>
    <x:row r="95">
      <x:c r="A95" s="351" t="inlineStr">
        <x:is>
          <x:t xml:space="preserve">Bulgaria</x:t>
        </x:is>
      </x:c>
      <x:c r="B95" s="352" t="inlineStr">
        <x:is>
          <x:t xml:space="preserve">EOOD/OOD</x:t>
        </x:is>
      </x:c>
      <x:c r="C95" s="352" t="inlineStr">
        <x:is>
          <x:t xml:space="preserve">Mixed</x:t>
        </x:is>
      </x:c>
      <x:c r="D95" s="353" t="inlineStr">
        <x:is>
          <x:t xml:space="preserve">Available</x:t>
        </x:is>
      </x:c>
    </x:row>
    <x:row r="96">
      <x:c r="A96" s="351" t="inlineStr">
        <x:is>
          <x:t xml:space="preserve">Bulgaria</x:t>
        </x:is>
      </x:c>
      <x:c r="B96" s="352" t="inlineStr">
        <x:is>
          <x:t xml:space="preserve">EOOD/OOD</x:t>
        </x:is>
      </x:c>
      <x:c r="C96" s="352" t="inlineStr">
        <x:is>
          <x:t xml:space="preserve">Carrier with subcontractors</x:t>
        </x:is>
      </x:c>
      <x:c r="D96" s="353" t="inlineStr">
        <x:is>
          <x:t xml:space="preserve">Available</x:t>
        </x:is>
      </x:c>
    </x:row>
    <x:row r="97">
      <x:c r="A97" s="351" t="inlineStr">
        <x:is>
          <x:t xml:space="preserve">Bulgaria</x:t>
        </x:is>
      </x:c>
      <x:c r="B97" s="352" t="inlineStr">
        <x:is>
          <x:t xml:space="preserve">AD</x:t>
        </x:is>
      </x:c>
      <x:c r="C97" s="352" t="inlineStr">
        <x:is>
          <x:t xml:space="preserve">Owner-operator</x:t>
        </x:is>
      </x:c>
      <x:c r="D97" s="353" t="inlineStr">
        <x:is>
          <x:t xml:space="preserve">Available</x:t>
        </x:is>
      </x:c>
    </x:row>
    <x:row r="98">
      <x:c r="A98" s="351" t="inlineStr">
        <x:is>
          <x:t xml:space="preserve">Bulgaria</x:t>
        </x:is>
      </x:c>
      <x:c r="B98" s="352" t="inlineStr">
        <x:is>
          <x:t xml:space="preserve">AD</x:t>
        </x:is>
      </x:c>
      <x:c r="C98" s="352" t="inlineStr">
        <x:is>
          <x:t xml:space="preserve">Fleet operator</x:t>
        </x:is>
      </x:c>
      <x:c r="D98" s="353" t="inlineStr">
        <x:is>
          <x:t xml:space="preserve">Available</x:t>
        </x:is>
      </x:c>
    </x:row>
    <x:row r="99">
      <x:c r="A99" s="351" t="inlineStr">
        <x:is>
          <x:t xml:space="preserve">Bulgaria</x:t>
        </x:is>
      </x:c>
      <x:c r="B99" s="352" t="inlineStr">
        <x:is>
          <x:t xml:space="preserve">AD</x:t>
        </x:is>
      </x:c>
      <x:c r="C99" s="352" t="inlineStr">
        <x:is>
          <x:t xml:space="preserve">Subcontractor</x:t>
        </x:is>
      </x:c>
      <x:c r="D99" s="353" t="inlineStr">
        <x:is>
          <x:t xml:space="preserve">Available</x:t>
        </x:is>
      </x:c>
    </x:row>
    <x:row r="100">
      <x:c r="A100" s="351" t="inlineStr">
        <x:is>
          <x:t xml:space="preserve">Bulgaria</x:t>
        </x:is>
      </x:c>
      <x:c r="B100" s="352" t="inlineStr">
        <x:is>
          <x:t xml:space="preserve">AD</x:t>
        </x:is>
      </x:c>
      <x:c r="C100" s="352" t="inlineStr">
        <x:is>
          <x:t xml:space="preserve">Mixed</x:t>
        </x:is>
      </x:c>
      <x:c r="D100" s="353" t="inlineStr">
        <x:is>
          <x:t xml:space="preserve">Available</x:t>
        </x:is>
      </x:c>
    </x:row>
    <x:row r="101">
      <x:c r="A101" s="351" t="inlineStr">
        <x:is>
          <x:t xml:space="preserve">Bulgaria</x:t>
        </x:is>
      </x:c>
      <x:c r="B101" s="352" t="inlineStr">
        <x:is>
          <x:t xml:space="preserve">AD</x:t>
        </x:is>
      </x:c>
      <x:c r="C101" s="352" t="inlineStr">
        <x:is>
          <x:t xml:space="preserve">Carrier with subcontractors</x:t>
        </x:is>
      </x:c>
      <x:c r="D101" s="353" t="inlineStr">
        <x:is>
          <x:t xml:space="preserve">Available</x:t>
        </x:is>
      </x:c>
    </x:row>
    <x:row r="102">
      <x:c r="A102" s="351" t="inlineStr">
        <x:is>
          <x:t xml:space="preserve">Bulgaria</x:t>
        </x:is>
      </x:c>
      <x:c r="B102" s="352" t="inlineStr">
        <x:is>
          <x:t xml:space="preserve">Branch / PE</x:t>
        </x:is>
      </x:c>
      <x:c r="C102" s="352" t="inlineStr">
        <x:is>
          <x:t xml:space="preserve">Owner-operator</x:t>
        </x:is>
      </x:c>
      <x:c r="D102" s="353" t="inlineStr">
        <x:is>
          <x:t xml:space="preserve">Available</x:t>
        </x:is>
      </x:c>
    </x:row>
    <x:row r="103">
      <x:c r="A103" s="351" t="inlineStr">
        <x:is>
          <x:t xml:space="preserve">Bulgaria</x:t>
        </x:is>
      </x:c>
      <x:c r="B103" s="352" t="inlineStr">
        <x:is>
          <x:t xml:space="preserve">Branch / PE</x:t>
        </x:is>
      </x:c>
      <x:c r="C103" s="352" t="inlineStr">
        <x:is>
          <x:t xml:space="preserve">Fleet operator</x:t>
        </x:is>
      </x:c>
      <x:c r="D103" s="353" t="inlineStr">
        <x:is>
          <x:t xml:space="preserve">Available</x:t>
        </x:is>
      </x:c>
    </x:row>
    <x:row r="104">
      <x:c r="A104" s="351" t="inlineStr">
        <x:is>
          <x:t xml:space="preserve">Bulgaria</x:t>
        </x:is>
      </x:c>
      <x:c r="B104" s="352" t="inlineStr">
        <x:is>
          <x:t xml:space="preserve">Branch / PE</x:t>
        </x:is>
      </x:c>
      <x:c r="C104" s="352" t="inlineStr">
        <x:is>
          <x:t xml:space="preserve">Subcontractor</x:t>
        </x:is>
      </x:c>
      <x:c r="D104" s="353" t="inlineStr">
        <x:is>
          <x:t xml:space="preserve">Available</x:t>
        </x:is>
      </x:c>
    </x:row>
    <x:row r="105">
      <x:c r="A105" s="351" t="inlineStr">
        <x:is>
          <x:t xml:space="preserve">Bulgaria</x:t>
        </x:is>
      </x:c>
      <x:c r="B105" s="352" t="inlineStr">
        <x:is>
          <x:t xml:space="preserve">Branch / PE</x:t>
        </x:is>
      </x:c>
      <x:c r="C105" s="352" t="inlineStr">
        <x:is>
          <x:t xml:space="preserve">Mixed</x:t>
        </x:is>
      </x:c>
      <x:c r="D105" s="353" t="inlineStr">
        <x:is>
          <x:t xml:space="preserve">Available</x:t>
        </x:is>
      </x:c>
    </x:row>
    <x:row r="106">
      <x:c r="A106" s="351" t="inlineStr">
        <x:is>
          <x:t xml:space="preserve">Bulgaria</x:t>
        </x:is>
      </x:c>
      <x:c r="B106" s="352" t="inlineStr">
        <x:is>
          <x:t xml:space="preserve">Branch / PE</x:t>
        </x:is>
      </x:c>
      <x:c r="C106" s="352" t="inlineStr">
        <x:is>
          <x:t xml:space="preserve">Carrier with subcontractors</x:t>
        </x:is>
      </x:c>
      <x:c r="D106" s="353" t="inlineStr">
        <x:is>
          <x:t xml:space="preserve">Available</x:t>
        </x:is>
      </x:c>
    </x:row>
    <x:row r="107">
      <x:c r="A107" s="351" t="inlineStr">
        <x:is>
          <x:t xml:space="preserve">Czechia</x:t>
        </x:is>
      </x:c>
      <x:c r="B107" s="352" t="inlineStr">
        <x:is>
          <x:t xml:space="preserve">OSVČ</x:t>
        </x:is>
      </x:c>
      <x:c r="C107" s="352" t="inlineStr">
        <x:is>
          <x:t xml:space="preserve">Owner-operator</x:t>
        </x:is>
      </x:c>
      <x:c r="D107" s="353" t="inlineStr">
        <x:is>
          <x:t xml:space="preserve">Available</x:t>
        </x:is>
      </x:c>
    </x:row>
    <x:row r="108">
      <x:c r="A108" s="351" t="inlineStr">
        <x:is>
          <x:t xml:space="preserve">Czechia</x:t>
        </x:is>
      </x:c>
      <x:c r="B108" s="352" t="inlineStr">
        <x:is>
          <x:t xml:space="preserve">OSVČ</x:t>
        </x:is>
      </x:c>
      <x:c r="C108" s="352" t="inlineStr">
        <x:is>
          <x:t xml:space="preserve">Fleet operator</x:t>
        </x:is>
      </x:c>
      <x:c r="D108" s="353" t="inlineStr">
        <x:is>
          <x:t xml:space="preserve">Available</x:t>
        </x:is>
      </x:c>
    </x:row>
    <x:row r="109">
      <x:c r="A109" s="351" t="inlineStr">
        <x:is>
          <x:t xml:space="preserve">Czechia</x:t>
        </x:is>
      </x:c>
      <x:c r="B109" s="352" t="inlineStr">
        <x:is>
          <x:t xml:space="preserve">OSVČ</x:t>
        </x:is>
      </x:c>
      <x:c r="C109" s="352" t="inlineStr">
        <x:is>
          <x:t xml:space="preserve">Subcontractor</x:t>
        </x:is>
      </x:c>
      <x:c r="D109" s="353" t="inlineStr">
        <x:is>
          <x:t xml:space="preserve">Available</x:t>
        </x:is>
      </x:c>
    </x:row>
    <x:row r="110">
      <x:c r="A110" s="351" t="inlineStr">
        <x:is>
          <x:t xml:space="preserve">Czechia</x:t>
        </x:is>
      </x:c>
      <x:c r="B110" s="352" t="inlineStr">
        <x:is>
          <x:t xml:space="preserve">OSVČ</x:t>
        </x:is>
      </x:c>
      <x:c r="C110" s="352" t="inlineStr">
        <x:is>
          <x:t xml:space="preserve">Mixed</x:t>
        </x:is>
      </x:c>
      <x:c r="D110" s="353" t="inlineStr">
        <x:is>
          <x:t xml:space="preserve">Available</x:t>
        </x:is>
      </x:c>
    </x:row>
    <x:row r="111">
      <x:c r="A111" s="351" t="inlineStr">
        <x:is>
          <x:t xml:space="preserve">Czechia</x:t>
        </x:is>
      </x:c>
      <x:c r="B111" s="352" t="inlineStr">
        <x:is>
          <x:t xml:space="preserve">OSVČ</x:t>
        </x:is>
      </x:c>
      <x:c r="C111" s="352" t="inlineStr">
        <x:is>
          <x:t xml:space="preserve">Carrier with subcontractors</x:t>
        </x:is>
      </x:c>
      <x:c r="D111" s="353" t="inlineStr">
        <x:is>
          <x:t xml:space="preserve">Available</x:t>
        </x:is>
      </x:c>
    </x:row>
    <x:row r="112">
      <x:c r="A112" s="351" t="inlineStr">
        <x:is>
          <x:t xml:space="preserve">Czechia</x:t>
        </x:is>
      </x:c>
      <x:c r="B112" s="352" t="inlineStr">
        <x:is>
          <x:t xml:space="preserve">s.r.o.</x:t>
        </x:is>
      </x:c>
      <x:c r="C112" s="352" t="inlineStr">
        <x:is>
          <x:t xml:space="preserve">Owner-operator</x:t>
        </x:is>
      </x:c>
      <x:c r="D112" s="353" t="inlineStr">
        <x:is>
          <x:t xml:space="preserve">Available</x:t>
        </x:is>
      </x:c>
    </x:row>
    <x:row r="113">
      <x:c r="A113" s="351" t="inlineStr">
        <x:is>
          <x:t xml:space="preserve">Czechia</x:t>
        </x:is>
      </x:c>
      <x:c r="B113" s="352" t="inlineStr">
        <x:is>
          <x:t xml:space="preserve">s.r.o.</x:t>
        </x:is>
      </x:c>
      <x:c r="C113" s="352" t="inlineStr">
        <x:is>
          <x:t xml:space="preserve">Fleet operator</x:t>
        </x:is>
      </x:c>
      <x:c r="D113" s="353" t="inlineStr">
        <x:is>
          <x:t xml:space="preserve">Available</x:t>
        </x:is>
      </x:c>
    </x:row>
    <x:row r="114">
      <x:c r="A114" s="351" t="inlineStr">
        <x:is>
          <x:t xml:space="preserve">Czechia</x:t>
        </x:is>
      </x:c>
      <x:c r="B114" s="352" t="inlineStr">
        <x:is>
          <x:t xml:space="preserve">s.r.o.</x:t>
        </x:is>
      </x:c>
      <x:c r="C114" s="352" t="inlineStr">
        <x:is>
          <x:t xml:space="preserve">Subcontractor</x:t>
        </x:is>
      </x:c>
      <x:c r="D114" s="353" t="inlineStr">
        <x:is>
          <x:t xml:space="preserve">Available</x:t>
        </x:is>
      </x:c>
    </x:row>
    <x:row r="115">
      <x:c r="A115" s="351" t="inlineStr">
        <x:is>
          <x:t xml:space="preserve">Czechia</x:t>
        </x:is>
      </x:c>
      <x:c r="B115" s="352" t="inlineStr">
        <x:is>
          <x:t xml:space="preserve">s.r.o.</x:t>
        </x:is>
      </x:c>
      <x:c r="C115" s="352" t="inlineStr">
        <x:is>
          <x:t xml:space="preserve">Mixed</x:t>
        </x:is>
      </x:c>
      <x:c r="D115" s="353" t="inlineStr">
        <x:is>
          <x:t xml:space="preserve">Available</x:t>
        </x:is>
      </x:c>
    </x:row>
    <x:row r="116">
      <x:c r="A116" s="351" t="inlineStr">
        <x:is>
          <x:t xml:space="preserve">Czechia</x:t>
        </x:is>
      </x:c>
      <x:c r="B116" s="352" t="inlineStr">
        <x:is>
          <x:t xml:space="preserve">s.r.o.</x:t>
        </x:is>
      </x:c>
      <x:c r="C116" s="352" t="inlineStr">
        <x:is>
          <x:t xml:space="preserve">Carrier with subcontractors</x:t>
        </x:is>
      </x:c>
      <x:c r="D116" s="353" t="inlineStr">
        <x:is>
          <x:t xml:space="preserve">Available</x:t>
        </x:is>
      </x:c>
    </x:row>
    <x:row r="117">
      <x:c r="A117" s="351" t="inlineStr">
        <x:is>
          <x:t xml:space="preserve">Czechia</x:t>
        </x:is>
      </x:c>
      <x:c r="B117" s="352" t="inlineStr">
        <x:is>
          <x:t xml:space="preserve">a.s.</x:t>
        </x:is>
      </x:c>
      <x:c r="C117" s="352" t="inlineStr">
        <x:is>
          <x:t xml:space="preserve">Owner-operator</x:t>
        </x:is>
      </x:c>
      <x:c r="D117" s="353" t="inlineStr">
        <x:is>
          <x:t xml:space="preserve">Available</x:t>
        </x:is>
      </x:c>
    </x:row>
    <x:row r="118">
      <x:c r="A118" s="351" t="inlineStr">
        <x:is>
          <x:t xml:space="preserve">Czechia</x:t>
        </x:is>
      </x:c>
      <x:c r="B118" s="352" t="inlineStr">
        <x:is>
          <x:t xml:space="preserve">a.s.</x:t>
        </x:is>
      </x:c>
      <x:c r="C118" s="352" t="inlineStr">
        <x:is>
          <x:t xml:space="preserve">Fleet operator</x:t>
        </x:is>
      </x:c>
      <x:c r="D118" s="353" t="inlineStr">
        <x:is>
          <x:t xml:space="preserve">Available</x:t>
        </x:is>
      </x:c>
    </x:row>
    <x:row r="119">
      <x:c r="A119" s="351" t="inlineStr">
        <x:is>
          <x:t xml:space="preserve">Czechia</x:t>
        </x:is>
      </x:c>
      <x:c r="B119" s="352" t="inlineStr">
        <x:is>
          <x:t xml:space="preserve">a.s.</x:t>
        </x:is>
      </x:c>
      <x:c r="C119" s="352" t="inlineStr">
        <x:is>
          <x:t xml:space="preserve">Subcontractor</x:t>
        </x:is>
      </x:c>
      <x:c r="D119" s="353" t="inlineStr">
        <x:is>
          <x:t xml:space="preserve">Available</x:t>
        </x:is>
      </x:c>
    </x:row>
    <x:row r="120">
      <x:c r="A120" s="351" t="inlineStr">
        <x:is>
          <x:t xml:space="preserve">Czechia</x:t>
        </x:is>
      </x:c>
      <x:c r="B120" s="352" t="inlineStr">
        <x:is>
          <x:t xml:space="preserve">a.s.</x:t>
        </x:is>
      </x:c>
      <x:c r="C120" s="352" t="inlineStr">
        <x:is>
          <x:t xml:space="preserve">Mixed</x:t>
        </x:is>
      </x:c>
      <x:c r="D120" s="353" t="inlineStr">
        <x:is>
          <x:t xml:space="preserve">Available</x:t>
        </x:is>
      </x:c>
    </x:row>
    <x:row r="121">
      <x:c r="A121" s="351" t="inlineStr">
        <x:is>
          <x:t xml:space="preserve">Czechia</x:t>
        </x:is>
      </x:c>
      <x:c r="B121" s="352" t="inlineStr">
        <x:is>
          <x:t xml:space="preserve">a.s.</x:t>
        </x:is>
      </x:c>
      <x:c r="C121" s="352" t="inlineStr">
        <x:is>
          <x:t xml:space="preserve">Carrier with subcontractors</x:t>
        </x:is>
      </x:c>
      <x:c r="D121" s="353" t="inlineStr">
        <x:is>
          <x:t xml:space="preserve">Available</x:t>
        </x:is>
      </x:c>
    </x:row>
    <x:row r="122">
      <x:c r="A122" s="351" t="inlineStr">
        <x:is>
          <x:t xml:space="preserve">Czechia</x:t>
        </x:is>
      </x:c>
      <x:c r="B122" s="352" t="inlineStr">
        <x:is>
          <x:t xml:space="preserve">Branch / PE</x:t>
        </x:is>
      </x:c>
      <x:c r="C122" s="352" t="inlineStr">
        <x:is>
          <x:t xml:space="preserve">Owner-operator</x:t>
        </x:is>
      </x:c>
      <x:c r="D122" s="353" t="inlineStr">
        <x:is>
          <x:t xml:space="preserve">Available</x:t>
        </x:is>
      </x:c>
    </x:row>
    <x:row r="123">
      <x:c r="A123" s="351" t="inlineStr">
        <x:is>
          <x:t xml:space="preserve">Czechia</x:t>
        </x:is>
      </x:c>
      <x:c r="B123" s="352" t="inlineStr">
        <x:is>
          <x:t xml:space="preserve">Branch / PE</x:t>
        </x:is>
      </x:c>
      <x:c r="C123" s="352" t="inlineStr">
        <x:is>
          <x:t xml:space="preserve">Fleet operator</x:t>
        </x:is>
      </x:c>
      <x:c r="D123" s="353" t="inlineStr">
        <x:is>
          <x:t xml:space="preserve">Available</x:t>
        </x:is>
      </x:c>
    </x:row>
    <x:row r="124">
      <x:c r="A124" s="351" t="inlineStr">
        <x:is>
          <x:t xml:space="preserve">Czechia</x:t>
        </x:is>
      </x:c>
      <x:c r="B124" s="352" t="inlineStr">
        <x:is>
          <x:t xml:space="preserve">Branch / PE</x:t>
        </x:is>
      </x:c>
      <x:c r="C124" s="352" t="inlineStr">
        <x:is>
          <x:t xml:space="preserve">Subcontractor</x:t>
        </x:is>
      </x:c>
      <x:c r="D124" s="353" t="inlineStr">
        <x:is>
          <x:t xml:space="preserve">Available</x:t>
        </x:is>
      </x:c>
    </x:row>
    <x:row r="125">
      <x:c r="A125" s="351" t="inlineStr">
        <x:is>
          <x:t xml:space="preserve">Czechia</x:t>
        </x:is>
      </x:c>
      <x:c r="B125" s="352" t="inlineStr">
        <x:is>
          <x:t xml:space="preserve">Branch / PE</x:t>
        </x:is>
      </x:c>
      <x:c r="C125" s="352" t="inlineStr">
        <x:is>
          <x:t xml:space="preserve">Mixed</x:t>
        </x:is>
      </x:c>
      <x:c r="D125" s="353" t="inlineStr">
        <x:is>
          <x:t xml:space="preserve">Available</x:t>
        </x:is>
      </x:c>
    </x:row>
    <x:row r="126">
      <x:c r="A126" s="351" t="inlineStr">
        <x:is>
          <x:t xml:space="preserve">Czechia</x:t>
        </x:is>
      </x:c>
      <x:c r="B126" s="352" t="inlineStr">
        <x:is>
          <x:t xml:space="preserve">Branch / PE</x:t>
        </x:is>
      </x:c>
      <x:c r="C126" s="352" t="inlineStr">
        <x:is>
          <x:t xml:space="preserve">Carrier with subcontractors</x:t>
        </x:is>
      </x:c>
      <x:c r="D126" s="353" t="inlineStr">
        <x:is>
          <x:t xml:space="preserve">Available</x:t>
        </x:is>
      </x:c>
    </x:row>
    <x:row r="127">
      <x:c r="A127" s="351" t="inlineStr">
        <x:is>
          <x:t xml:space="preserve">Slovakia</x:t>
        </x:is>
      </x:c>
      <x:c r="B127" s="352" t="inlineStr">
        <x:is>
          <x:t xml:space="preserve">živnostník</x:t>
        </x:is>
      </x:c>
      <x:c r="C127" s="352" t="inlineStr">
        <x:is>
          <x:t xml:space="preserve">Owner-operator</x:t>
        </x:is>
      </x:c>
      <x:c r="D127" s="353" t="inlineStr">
        <x:is>
          <x:t xml:space="preserve">Available</x:t>
        </x:is>
      </x:c>
    </x:row>
    <x:row r="128">
      <x:c r="A128" s="351" t="inlineStr">
        <x:is>
          <x:t xml:space="preserve">Slovakia</x:t>
        </x:is>
      </x:c>
      <x:c r="B128" s="352" t="inlineStr">
        <x:is>
          <x:t xml:space="preserve">živnostník</x:t>
        </x:is>
      </x:c>
      <x:c r="C128" s="352" t="inlineStr">
        <x:is>
          <x:t xml:space="preserve">Fleet operator</x:t>
        </x:is>
      </x:c>
      <x:c r="D128" s="353" t="inlineStr">
        <x:is>
          <x:t xml:space="preserve">Available</x:t>
        </x:is>
      </x:c>
    </x:row>
    <x:row r="129">
      <x:c r="A129" s="351" t="inlineStr">
        <x:is>
          <x:t xml:space="preserve">Slovakia</x:t>
        </x:is>
      </x:c>
      <x:c r="B129" s="352" t="inlineStr">
        <x:is>
          <x:t xml:space="preserve">živnostník</x:t>
        </x:is>
      </x:c>
      <x:c r="C129" s="352" t="inlineStr">
        <x:is>
          <x:t xml:space="preserve">Subcontractor</x:t>
        </x:is>
      </x:c>
      <x:c r="D129" s="353" t="inlineStr">
        <x:is>
          <x:t xml:space="preserve">Available</x:t>
        </x:is>
      </x:c>
    </x:row>
    <x:row r="130">
      <x:c r="A130" s="351" t="inlineStr">
        <x:is>
          <x:t xml:space="preserve">Slovakia</x:t>
        </x:is>
      </x:c>
      <x:c r="B130" s="352" t="inlineStr">
        <x:is>
          <x:t xml:space="preserve">živnostník</x:t>
        </x:is>
      </x:c>
      <x:c r="C130" s="352" t="inlineStr">
        <x:is>
          <x:t xml:space="preserve">Mixed</x:t>
        </x:is>
      </x:c>
      <x:c r="D130" s="353" t="inlineStr">
        <x:is>
          <x:t xml:space="preserve">Available</x:t>
        </x:is>
      </x:c>
    </x:row>
    <x:row r="131">
      <x:c r="A131" s="351" t="inlineStr">
        <x:is>
          <x:t xml:space="preserve">Slovakia</x:t>
        </x:is>
      </x:c>
      <x:c r="B131" s="352" t="inlineStr">
        <x:is>
          <x:t xml:space="preserve">živnostník</x:t>
        </x:is>
      </x:c>
      <x:c r="C131" s="352" t="inlineStr">
        <x:is>
          <x:t xml:space="preserve">Carrier with subcontractors</x:t>
        </x:is>
      </x:c>
      <x:c r="D131" s="353" t="inlineStr">
        <x:is>
          <x:t xml:space="preserve">Available</x:t>
        </x:is>
      </x:c>
    </x:row>
    <x:row r="132">
      <x:c r="A132" s="351" t="inlineStr">
        <x:is>
          <x:t xml:space="preserve">Slovakia</x:t>
        </x:is>
      </x:c>
      <x:c r="B132" s="352" t="inlineStr">
        <x:is>
          <x:t xml:space="preserve">s.r.o.</x:t>
        </x:is>
      </x:c>
      <x:c r="C132" s="352" t="inlineStr">
        <x:is>
          <x:t xml:space="preserve">Owner-operator</x:t>
        </x:is>
      </x:c>
      <x:c r="D132" s="353" t="inlineStr">
        <x:is>
          <x:t xml:space="preserve">Available</x:t>
        </x:is>
      </x:c>
    </x:row>
    <x:row r="133">
      <x:c r="A133" s="351" t="inlineStr">
        <x:is>
          <x:t xml:space="preserve">Slovakia</x:t>
        </x:is>
      </x:c>
      <x:c r="B133" s="352" t="inlineStr">
        <x:is>
          <x:t xml:space="preserve">s.r.o.</x:t>
        </x:is>
      </x:c>
      <x:c r="C133" s="352" t="inlineStr">
        <x:is>
          <x:t xml:space="preserve">Fleet operator</x:t>
        </x:is>
      </x:c>
      <x:c r="D133" s="353" t="inlineStr">
        <x:is>
          <x:t xml:space="preserve">Available</x:t>
        </x:is>
      </x:c>
    </x:row>
    <x:row r="134">
      <x:c r="A134" s="351" t="inlineStr">
        <x:is>
          <x:t xml:space="preserve">Slovakia</x:t>
        </x:is>
      </x:c>
      <x:c r="B134" s="352" t="inlineStr">
        <x:is>
          <x:t xml:space="preserve">s.r.o.</x:t>
        </x:is>
      </x:c>
      <x:c r="C134" s="352" t="inlineStr">
        <x:is>
          <x:t xml:space="preserve">Subcontractor</x:t>
        </x:is>
      </x:c>
      <x:c r="D134" s="353" t="inlineStr">
        <x:is>
          <x:t xml:space="preserve">Available</x:t>
        </x:is>
      </x:c>
    </x:row>
    <x:row r="135">
      <x:c r="A135" s="351" t="inlineStr">
        <x:is>
          <x:t xml:space="preserve">Slovakia</x:t>
        </x:is>
      </x:c>
      <x:c r="B135" s="352" t="inlineStr">
        <x:is>
          <x:t xml:space="preserve">s.r.o.</x:t>
        </x:is>
      </x:c>
      <x:c r="C135" s="352" t="inlineStr">
        <x:is>
          <x:t xml:space="preserve">Mixed</x:t>
        </x:is>
      </x:c>
      <x:c r="D135" s="353" t="inlineStr">
        <x:is>
          <x:t xml:space="preserve">Available</x:t>
        </x:is>
      </x:c>
    </x:row>
    <x:row r="136">
      <x:c r="A136" s="351" t="inlineStr">
        <x:is>
          <x:t xml:space="preserve">Slovakia</x:t>
        </x:is>
      </x:c>
      <x:c r="B136" s="352" t="inlineStr">
        <x:is>
          <x:t xml:space="preserve">s.r.o.</x:t>
        </x:is>
      </x:c>
      <x:c r="C136" s="352" t="inlineStr">
        <x:is>
          <x:t xml:space="preserve">Carrier with subcontractors</x:t>
        </x:is>
      </x:c>
      <x:c r="D136" s="353" t="inlineStr">
        <x:is>
          <x:t xml:space="preserve">Available</x:t>
        </x:is>
      </x:c>
    </x:row>
    <x:row r="137">
      <x:c r="A137" s="351" t="inlineStr">
        <x:is>
          <x:t xml:space="preserve">Slovakia</x:t>
        </x:is>
      </x:c>
      <x:c r="B137" s="352" t="inlineStr">
        <x:is>
          <x:t xml:space="preserve">a.s.</x:t>
        </x:is>
      </x:c>
      <x:c r="C137" s="352" t="inlineStr">
        <x:is>
          <x:t xml:space="preserve">Owner-operator</x:t>
        </x:is>
      </x:c>
      <x:c r="D137" s="353" t="inlineStr">
        <x:is>
          <x:t xml:space="preserve">Available</x:t>
        </x:is>
      </x:c>
    </x:row>
    <x:row r="138">
      <x:c r="A138" s="351" t="inlineStr">
        <x:is>
          <x:t xml:space="preserve">Slovakia</x:t>
        </x:is>
      </x:c>
      <x:c r="B138" s="352" t="inlineStr">
        <x:is>
          <x:t xml:space="preserve">a.s.</x:t>
        </x:is>
      </x:c>
      <x:c r="C138" s="352" t="inlineStr">
        <x:is>
          <x:t xml:space="preserve">Fleet operator</x:t>
        </x:is>
      </x:c>
      <x:c r="D138" s="353" t="inlineStr">
        <x:is>
          <x:t xml:space="preserve">Available</x:t>
        </x:is>
      </x:c>
    </x:row>
    <x:row r="139">
      <x:c r="A139" s="351" t="inlineStr">
        <x:is>
          <x:t xml:space="preserve">Slovakia</x:t>
        </x:is>
      </x:c>
      <x:c r="B139" s="352" t="inlineStr">
        <x:is>
          <x:t xml:space="preserve">a.s.</x:t>
        </x:is>
      </x:c>
      <x:c r="C139" s="352" t="inlineStr">
        <x:is>
          <x:t xml:space="preserve">Subcontractor</x:t>
        </x:is>
      </x:c>
      <x:c r="D139" s="353" t="inlineStr">
        <x:is>
          <x:t xml:space="preserve">Available</x:t>
        </x:is>
      </x:c>
    </x:row>
    <x:row r="140">
      <x:c r="A140" s="351" t="inlineStr">
        <x:is>
          <x:t xml:space="preserve">Slovakia</x:t>
        </x:is>
      </x:c>
      <x:c r="B140" s="352" t="inlineStr">
        <x:is>
          <x:t xml:space="preserve">a.s.</x:t>
        </x:is>
      </x:c>
      <x:c r="C140" s="352" t="inlineStr">
        <x:is>
          <x:t xml:space="preserve">Mixed</x:t>
        </x:is>
      </x:c>
      <x:c r="D140" s="353" t="inlineStr">
        <x:is>
          <x:t xml:space="preserve">Available</x:t>
        </x:is>
      </x:c>
    </x:row>
    <x:row r="141">
      <x:c r="A141" s="351" t="inlineStr">
        <x:is>
          <x:t xml:space="preserve">Slovakia</x:t>
        </x:is>
      </x:c>
      <x:c r="B141" s="352" t="inlineStr">
        <x:is>
          <x:t xml:space="preserve">a.s.</x:t>
        </x:is>
      </x:c>
      <x:c r="C141" s="352" t="inlineStr">
        <x:is>
          <x:t xml:space="preserve">Carrier with subcontractors</x:t>
        </x:is>
      </x:c>
      <x:c r="D141" s="353" t="inlineStr">
        <x:is>
          <x:t xml:space="preserve">Available</x:t>
        </x:is>
      </x:c>
    </x:row>
    <x:row r="142">
      <x:c r="A142" s="351" t="inlineStr">
        <x:is>
          <x:t xml:space="preserve">Slovakia</x:t>
        </x:is>
      </x:c>
      <x:c r="B142" s="352" t="inlineStr">
        <x:is>
          <x:t xml:space="preserve">Branch / PE</x:t>
        </x:is>
      </x:c>
      <x:c r="C142" s="352" t="inlineStr">
        <x:is>
          <x:t xml:space="preserve">Owner-operator</x:t>
        </x:is>
      </x:c>
      <x:c r="D142" s="353" t="inlineStr">
        <x:is>
          <x:t xml:space="preserve">Available</x:t>
        </x:is>
      </x:c>
    </x:row>
    <x:row r="143">
      <x:c r="A143" s="351" t="inlineStr">
        <x:is>
          <x:t xml:space="preserve">Slovakia</x:t>
        </x:is>
      </x:c>
      <x:c r="B143" s="352" t="inlineStr">
        <x:is>
          <x:t xml:space="preserve">Branch / PE</x:t>
        </x:is>
      </x:c>
      <x:c r="C143" s="352" t="inlineStr">
        <x:is>
          <x:t xml:space="preserve">Fleet operator</x:t>
        </x:is>
      </x:c>
      <x:c r="D143" s="353" t="inlineStr">
        <x:is>
          <x:t xml:space="preserve">Available</x:t>
        </x:is>
      </x:c>
    </x:row>
    <x:row r="144">
      <x:c r="A144" s="351" t="inlineStr">
        <x:is>
          <x:t xml:space="preserve">Slovakia</x:t>
        </x:is>
      </x:c>
      <x:c r="B144" s="352" t="inlineStr">
        <x:is>
          <x:t xml:space="preserve">Branch / PE</x:t>
        </x:is>
      </x:c>
      <x:c r="C144" s="352" t="inlineStr">
        <x:is>
          <x:t xml:space="preserve">Subcontractor</x:t>
        </x:is>
      </x:c>
      <x:c r="D144" s="353" t="inlineStr">
        <x:is>
          <x:t xml:space="preserve">Available</x:t>
        </x:is>
      </x:c>
    </x:row>
    <x:row r="145">
      <x:c r="A145" s="351" t="inlineStr">
        <x:is>
          <x:t xml:space="preserve">Slovakia</x:t>
        </x:is>
      </x:c>
      <x:c r="B145" s="352" t="inlineStr">
        <x:is>
          <x:t xml:space="preserve">Branch / PE</x:t>
        </x:is>
      </x:c>
      <x:c r="C145" s="352" t="inlineStr">
        <x:is>
          <x:t xml:space="preserve">Mixed</x:t>
        </x:is>
      </x:c>
      <x:c r="D145" s="353" t="inlineStr">
        <x:is>
          <x:t xml:space="preserve">Available</x:t>
        </x:is>
      </x:c>
    </x:row>
    <x:row r="146">
      <x:c r="A146" s="351" t="inlineStr">
        <x:is>
          <x:t xml:space="preserve">Slovakia</x:t>
        </x:is>
      </x:c>
      <x:c r="B146" s="352" t="inlineStr">
        <x:is>
          <x:t xml:space="preserve">Branch / PE</x:t>
        </x:is>
      </x:c>
      <x:c r="C146" s="352" t="inlineStr">
        <x:is>
          <x:t xml:space="preserve">Carrier with subcontractors</x:t>
        </x:is>
      </x:c>
      <x:c r="D146" s="353" t="inlineStr">
        <x:is>
          <x:t xml:space="preserve">Available</x:t>
        </x:is>
      </x:c>
    </x:row>
    <x:row r="147">
      <x:c r="A147" s="351" t="inlineStr">
        <x:is>
          <x:t xml:space="preserve">Manual / Custom</x:t>
        </x:is>
      </x:c>
      <x:c r="B147" s="352" t="inlineStr">
        <x:is>
          <x:t xml:space="preserve">Manual entity</x:t>
        </x:is>
      </x:c>
      <x:c r="C147" s="352" t="inlineStr">
        <x:is>
          <x:t xml:space="preserve">Owner-operator</x:t>
        </x:is>
      </x:c>
      <x:c r="D147" s="353" t="inlineStr">
        <x:is>
          <x:t xml:space="preserve">Available</x:t>
        </x:is>
      </x:c>
    </x:row>
    <x:row r="148">
      <x:c r="A148" s="351" t="inlineStr">
        <x:is>
          <x:t xml:space="preserve">Manual / Custom</x:t>
        </x:is>
      </x:c>
      <x:c r="B148" s="352" t="inlineStr">
        <x:is>
          <x:t xml:space="preserve">Manual entity</x:t>
        </x:is>
      </x:c>
      <x:c r="C148" s="352" t="inlineStr">
        <x:is>
          <x:t xml:space="preserve">Fleet operator</x:t>
        </x:is>
      </x:c>
      <x:c r="D148" s="353" t="inlineStr">
        <x:is>
          <x:t xml:space="preserve">Available</x:t>
        </x:is>
      </x:c>
    </x:row>
    <x:row r="149">
      <x:c r="A149" s="351" t="inlineStr">
        <x:is>
          <x:t xml:space="preserve">Manual / Custom</x:t>
        </x:is>
      </x:c>
      <x:c r="B149" s="352" t="inlineStr">
        <x:is>
          <x:t xml:space="preserve">Manual entity</x:t>
        </x:is>
      </x:c>
      <x:c r="C149" s="352" t="inlineStr">
        <x:is>
          <x:t xml:space="preserve">Subcontractor</x:t>
        </x:is>
      </x:c>
      <x:c r="D149" s="353" t="inlineStr">
        <x:is>
          <x:t xml:space="preserve">Available</x:t>
        </x:is>
      </x:c>
    </x:row>
    <x:row r="150">
      <x:c r="A150" s="351" t="inlineStr">
        <x:is>
          <x:t xml:space="preserve">Manual / Custom</x:t>
        </x:is>
      </x:c>
      <x:c r="B150" s="352" t="inlineStr">
        <x:is>
          <x:t xml:space="preserve">Manual entity</x:t>
        </x:is>
      </x:c>
      <x:c r="C150" s="352" t="inlineStr">
        <x:is>
          <x:t xml:space="preserve">Mixed</x:t>
        </x:is>
      </x:c>
      <x:c r="D150" s="353" t="inlineStr">
        <x:is>
          <x:t xml:space="preserve">Available</x:t>
        </x:is>
      </x:c>
    </x:row>
    <x:row r="151">
      <x:c r="A151" s="354" t="inlineStr">
        <x:is>
          <x:t xml:space="preserve">Manual / Custom</x:t>
        </x:is>
      </x:c>
      <x:c r="B151" s="355" t="inlineStr">
        <x:is>
          <x:t xml:space="preserve">Manual entity</x:t>
        </x:is>
      </x:c>
      <x:c r="C151" s="355" t="inlineStr">
        <x:is>
          <x:t xml:space="preserve">Carrier with subcontractors</x:t>
        </x:is>
      </x:c>
      <x:c r="D151" s="356" t="inlineStr">
        <x:is>
          <x:t xml:space="preserve">Available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7.360000610351562" style="60" hidden="0" customWidth="1"/>
    <x:col min="3" max="3" width="13.1899995803833" style="60" hidden="0" customWidth="1"/>
    <x:col min="5" max="5" width="13.1899995803833" style="60" hidden="0" customWidth="1"/>
    <x:col min="2" max="2" width="15.609999656677246" hidden="0" customWidth="1"/>
    <x:col min="4" max="4" width="13.1899995803833" hidden="0" customWidth="1"/>
    <x:col min="6" max="6" width="13.1899995803833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14.130000114440918" hidden="0" customWidth="1"/>
    <x:col min="12" max="12" width="21.799999237060547" hidden="0" customWidth="1"/>
  </x:cols>
  <x:sheetData>
    <x:row r="1">
      <x:c r="A1" s="824" t="str">
        <x:v>Country / jurisdiction</x:v>
      </x:c>
      <x:c r="B1" s="824" t="str">
        <x:v>Company type 1</x:v>
      </x:c>
      <x:c r="C1" s="824" t="str">
        <x:v>Company type 2</x:v>
      </x:c>
      <x:c r="D1" s="824" t="str">
        <x:v>Company type 3</x:v>
      </x:c>
      <x:c r="E1" s="824" t="str">
        <x:v>Company type 4</x:v>
      </x:c>
      <x:c r="F1" s="824" t="str">
        <x:v>Company type 5</x:v>
      </x:c>
      <x:c r="G1" s="826"/>
      <x:c r="H1" s="826" t="str">
        <x:v>Business model 1</x:v>
      </x:c>
      <x:c r="I1" s="826" t="str">
        <x:v>Business model 2</x:v>
      </x:c>
      <x:c r="J1" s="826" t="str">
        <x:v>Business model 3</x:v>
      </x:c>
      <x:c r="K1" s="826" t="str">
        <x:v>Business model 4</x:v>
      </x:c>
      <x:c r="L1" s="826" t="str">
        <x:v>Business model 5</x:v>
      </x:c>
    </x:row>
    <x:row r="2">
      <x:c r="A2" t="str">
        <x:f t="array" ref="A2"/>
        <x:v>Austria</x:v>
      </x:c>
      <x:c r="B2" t="str">
        <x:v>Einzelunternehmen</x:v>
      </x:c>
      <x:c r="C2" t="str">
        <x:f t="array" ref="C2"/>
        <x:v>GmbH</x:v>
      </x:c>
      <x:c r="D2" t="str">
        <x:v>AG</x:v>
      </x:c>
      <x:c r="E2" t="str">
        <x:v>Branch / PE</x:v>
      </x:c>
      <x:c r="F2"/>
      <x:c r="G2"/>
      <x:c r="H2" t="str">
        <x:v>Owner-operator</x:v>
      </x:c>
      <x:c r="I2" t="str">
        <x:v>Fleet operator</x:v>
      </x:c>
      <x:c r="J2" t="str">
        <x:v>Subcontractor</x:v>
      </x:c>
      <x:c r="K2" t="str">
        <x:v>Mixed</x:v>
      </x:c>
      <x:c r="L2" t="str">
        <x:v>Carrier with subcontractors</x:v>
      </x:c>
    </x:row>
    <x:row r="3">
      <x:c r="A3" t="str">
        <x:v>Germany</x:v>
      </x:c>
      <x:c r="B3" t="str">
        <x:v>Einzelunternehmen</x:v>
      </x:c>
      <x:c r="C3" t="str">
        <x:v>UG</x:v>
      </x:c>
      <x:c r="D3" t="str">
        <x:v>GmbH</x:v>
      </x:c>
      <x:c r="E3" t="str">
        <x:v>AG</x:v>
      </x:c>
      <x:c r="F3" t="str">
        <x:v>Branch / PE</x:v>
      </x:c>
      <x:c r="G3"/>
      <x:c r="H3" t="str">
        <x:v>Owner-operator</x:v>
      </x:c>
      <x:c r="I3" t="str">
        <x:v>Fleet operator</x:v>
      </x:c>
      <x:c r="J3" t="str">
        <x:v>Subcontractor</x:v>
      </x:c>
      <x:c r="K3" t="str">
        <x:v>Mixed</x:v>
      </x:c>
      <x:c r="L3" t="str">
        <x:v>Carrier with subcontractors</x:v>
      </x:c>
    </x:row>
    <x:row r="4">
      <x:c r="A4" t="str">
        <x:v>Romania</x:v>
      </x:c>
      <x:c r="B4" t="str">
        <x:v>PFA / II</x:v>
      </x:c>
      <x:c r="C4" t="str">
        <x:v>SRL</x:v>
      </x:c>
      <x:c r="D4" t="str">
        <x:v>SA</x:v>
      </x:c>
      <x:c r="E4" t="str">
        <x:v>Branch / PE</x:v>
      </x:c>
      <x:c r="F4"/>
      <x:c r="G4"/>
      <x:c r="H4" t="str">
        <x:v>Owner-operator</x:v>
      </x:c>
      <x:c r="I4" t="str">
        <x:v>Fleet operator</x:v>
      </x:c>
      <x:c r="J4" t="str">
        <x:v>Subcontractor</x:v>
      </x:c>
      <x:c r="K4" t="str">
        <x:v>Mixed</x:v>
      </x:c>
      <x:c r="L4" t="str">
        <x:v>Carrier with subcontractors</x:v>
      </x:c>
    </x:row>
    <x:row r="5">
      <x:c r="A5" t="str">
        <x:v>Hungary</x:v>
      </x:c>
      <x:c r="B5" t="str">
        <x:v>Egyéni vállalkozó</x:v>
      </x:c>
      <x:c r="C5" t="str">
        <x:v>Kft.</x:v>
      </x:c>
      <x:c r="D5" t="str">
        <x:v>Zrt. / Nyrt.</x:v>
      </x:c>
      <x:c r="E5" t="str">
        <x:v>Branch / PE</x:v>
      </x:c>
      <x:c r="F5"/>
      <x:c r="G5"/>
      <x:c r="H5" t="str">
        <x:v>Owner-operator</x:v>
      </x:c>
      <x:c r="I5" t="str">
        <x:v>Fleet operator</x:v>
      </x:c>
      <x:c r="J5" t="str">
        <x:v>Subcontractor</x:v>
      </x:c>
      <x:c r="K5" t="str">
        <x:v>Mixed</x:v>
      </x:c>
      <x:c r="L5" t="str">
        <x:v>Carrier with subcontractors</x:v>
      </x:c>
    </x:row>
    <x:row r="6">
      <x:c r="A6" t="str">
        <x:v>Bulgaria</x:v>
      </x:c>
      <x:c r="B6" t="str">
        <x:v>ET</x:v>
      </x:c>
      <x:c r="C6" t="str">
        <x:v>EOOD/OOD</x:v>
      </x:c>
      <x:c r="D6" t="str">
        <x:v>AD</x:v>
      </x:c>
      <x:c r="E6" t="str">
        <x:v>Branch / PE</x:v>
      </x:c>
      <x:c r="F6"/>
      <x:c r="G6"/>
      <x:c r="H6" t="str">
        <x:v>Owner-operator</x:v>
      </x:c>
      <x:c r="I6" t="str">
        <x:v>Fleet operator</x:v>
      </x:c>
      <x:c r="J6" t="str">
        <x:v>Subcontractor</x:v>
      </x:c>
      <x:c r="K6" t="str">
        <x:v>Mixed</x:v>
      </x:c>
      <x:c r="L6" t="str">
        <x:v>Carrier with subcontractors</x:v>
      </x:c>
    </x:row>
    <x:row r="7">
      <x:c r="A7" t="str">
        <x:v>Czechia</x:v>
      </x:c>
      <x:c r="B7" t="str">
        <x:v>OSVČ</x:v>
      </x:c>
      <x:c r="C7" t="str">
        <x:v>s.r.o.</x:v>
      </x:c>
      <x:c r="D7" t="str">
        <x:v>a.s.</x:v>
      </x:c>
      <x:c r="E7" t="str">
        <x:v>Branch / PE</x:v>
      </x:c>
      <x:c r="F7"/>
      <x:c r="G7"/>
      <x:c r="H7" t="str">
        <x:v>Owner-operator</x:v>
      </x:c>
      <x:c r="I7" t="str">
        <x:v>Fleet operator</x:v>
      </x:c>
      <x:c r="J7" t="str">
        <x:v>Subcontractor</x:v>
      </x:c>
      <x:c r="K7" t="str">
        <x:v>Mixed</x:v>
      </x:c>
      <x:c r="L7" t="str">
        <x:v>Carrier with subcontractors</x:v>
      </x:c>
    </x:row>
    <x:row r="8">
      <x:c r="A8" t="str">
        <x:v>Slovakia</x:v>
      </x:c>
      <x:c r="B8" t="str">
        <x:v>živnostník</x:v>
      </x:c>
      <x:c r="C8" t="str">
        <x:v>s.r.o.</x:v>
      </x:c>
      <x:c r="D8" t="str">
        <x:v>a.s.</x:v>
      </x:c>
      <x:c r="E8" t="str">
        <x:v>Branch / PE</x:v>
      </x:c>
      <x:c r="F8"/>
      <x:c r="G8"/>
      <x:c r="H8" t="str">
        <x:v>Owner-operator</x:v>
      </x:c>
      <x:c r="I8" t="str">
        <x:v>Fleet operator</x:v>
      </x:c>
      <x:c r="J8" t="str">
        <x:v>Subcontractor</x:v>
      </x:c>
      <x:c r="K8" t="str">
        <x:v>Mixed</x:v>
      </x:c>
      <x:c r="L8" t="str">
        <x:v>Carrier with subcontractors</x:v>
      </x:c>
    </x:row>
    <x:row r="9">
      <x:c r="A9" t="str">
        <x:v>Manual / Custom</x:v>
      </x:c>
      <x:c r="B9" t="str">
        <x:v>Manual entity</x:v>
      </x:c>
      <x:c r="C9"/>
      <x:c r="D9"/>
      <x:c r="E9"/>
      <x:c r="F9"/>
      <x:c r="G9"/>
      <x:c r="H9" t="str">
        <x:v>Owner-operator</x:v>
      </x:c>
      <x:c r="I9" t="str">
        <x:v>Fleet operator</x:v>
      </x:c>
      <x:c r="J9" t="str">
        <x:v>Subcontractor</x:v>
      </x:c>
      <x:c r="K9" t="str">
        <x:v>Mixed</x:v>
      </x:c>
      <x:c r="L9" t="str">
        <x:v>Carrier with subcontractors</x:v>
      </x:c>
    </x:row>
  </x:sheetData>
  <x:pageMargins left="0.7" right="0.7" top="0.75" bottom="0.75" header="0.3" footer="0.3"/>
</x:worksheet>
</file>